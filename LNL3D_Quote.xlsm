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Quote" sheetId="1" state="visible" r:id="rId1"/>
    <sheet xmlns:r="http://schemas.openxmlformats.org/officeDocument/2006/relationships" name="Quantity Discounts" sheetId="2" state="visible" r:id="rId2"/>
    <sheet xmlns:r="http://schemas.openxmlformats.org/officeDocument/2006/relationships" name="Printers" sheetId="3" state="visible" r:id="rId3"/>
    <sheet xmlns:r="http://schemas.openxmlformats.org/officeDocument/2006/relationships" name="Materials" sheetId="4" state="visible" r:id="rId4"/>
    <sheet xmlns:r="http://schemas.openxmlformats.org/officeDocument/2006/relationships" name="General" sheetId="5" state="visible" r:id="rId5"/>
    <sheet xmlns:r="http://schemas.openxmlformats.org/officeDocument/2006/relationships" name="Customer Quote" sheetId="6" state="visible" r:id="rId6"/>
    <sheet xmlns:r="http://schemas.openxmlformats.org/officeDocument/2006/relationships" name="Quote Log" sheetId="7" state="visible" r:id="rId7"/>
  </sheets>
  <definedNames>
    <definedName name="_xlnm._FilterDatabase" localSheetId="6" hidden="1">'Quote Log'!$A$2:$AK$2</definedName>
  </definedNames>
  <calcPr calcId="124519" fullCalcOnLoad="1"/>
</workbook>
</file>

<file path=xl/styles.xml><?xml version="1.0" encoding="utf-8"?>
<styleSheet xmlns="http://schemas.openxmlformats.org/spreadsheetml/2006/main">
  <numFmts count="11">
    <numFmt numFmtId="164" formatCode="#,##0.00&quot; h&quot;"/>
    <numFmt numFmtId="165" formatCode="MM/DD/YYYY"/>
    <numFmt numFmtId="166" formatCode="#,##0.00&quot; g&quot;"/>
    <numFmt numFmtId="167" formatCode="&quot;$&quot;#,##0.00"/>
    <numFmt numFmtId="168" formatCode="0.00&quot;x&quot;"/>
    <numFmt numFmtId="169" formatCode="#,##0.0"/>
    <numFmt numFmtId="170" formatCode="0.0%"/>
    <numFmt numFmtId="171" formatCode="&quot;$&quot;#,##0.00&quot; /kWh&quot;"/>
    <numFmt numFmtId="172" formatCode="&quot;$&quot;#,##0.00&quot; /h&quot;"/>
    <numFmt numFmtId="173" formatCode="000"/>
    <numFmt numFmtId="174" formatCode="&quot;$&quot;#,##0.00&quot; /pc&quot;"/>
  </numFmts>
  <fonts count="34">
    <font>
      <name val="Calibri"/>
      <family val="2"/>
      <color theme="1"/>
      <sz val="11"/>
      <scheme val="minor"/>
    </font>
    <font>
      <name val="Calibri"/>
      <b val="1"/>
      <color rgb="FFFFFFFF"/>
      <sz val="12"/>
    </font>
    <font>
      <name val="Calibri"/>
      <b val="1"/>
      <color rgb="FF37474F"/>
      <sz val="10"/>
    </font>
    <font>
      <name val="Calibri"/>
      <color rgb="FF1565C0"/>
      <sz val="10"/>
    </font>
    <font>
      <name val="Calibri"/>
      <i val="1"/>
      <color rgb="FF78909C"/>
      <sz val="9"/>
    </font>
    <font>
      <name val="Calibri"/>
      <b val="1"/>
      <color rgb="FFFFFFFF"/>
      <sz val="11"/>
    </font>
    <font>
      <name val="Calibri"/>
      <color rgb="FF37474F"/>
      <sz val="10"/>
    </font>
    <font>
      <name val="Calibri"/>
      <b val="1"/>
      <color rgb="FF1B5E20"/>
      <sz val="10"/>
    </font>
    <font>
      <name val="Calibri"/>
      <b val="1"/>
      <color rgb="FFFFFFFF"/>
      <sz val="9"/>
    </font>
    <font>
      <name val="Calibri"/>
      <b val="1"/>
      <color rgb="FF1565C0"/>
      <sz val="10"/>
    </font>
    <font>
      <name val="Calibri"/>
      <b val="1"/>
      <color rgb="FFFFFFFF"/>
      <sz val="16"/>
    </font>
    <font>
      <name val="Calibri"/>
      <b val="1"/>
      <color rgb="FFE0E0E0"/>
      <sz val="10"/>
    </font>
    <font>
      <name val="Calibri"/>
      <b val="1"/>
      <color rgb="FF1565C0"/>
      <sz val="11"/>
    </font>
    <font>
      <name val="Calibri"/>
      <i val="1"/>
      <color rgb="FF37474F"/>
      <sz val="10"/>
    </font>
    <font>
      <name val="Calibri"/>
      <b val="1"/>
      <color rgb="FF1B5E20"/>
      <sz val="12"/>
    </font>
    <font>
      <name val="Calibri"/>
      <i val="1"/>
      <color rgb="FF1B5E20"/>
      <sz val="10"/>
    </font>
    <font>
      <name val="Calibri"/>
      <b val="1"/>
      <color rgb="FFE94560"/>
      <sz val="12"/>
    </font>
    <font>
      <name val="Calibri"/>
      <i val="1"/>
      <color rgb="FFE94560"/>
      <sz val="10"/>
    </font>
    <font>
      <name val="Calibri"/>
      <b val="1"/>
      <color rgb="FFFFFFFF"/>
      <sz val="10"/>
    </font>
    <font>
      <name val="Calibri"/>
      <b val="1"/>
      <color rgb="FFE94560"/>
      <sz val="10"/>
    </font>
    <font>
      <name val="Calibri"/>
      <b val="1"/>
      <color rgb="FFB71C1C"/>
      <sz val="10"/>
    </font>
    <font>
      <name val="Calibri"/>
      <b val="1"/>
      <color rgb="FF0F3460"/>
      <sz val="10"/>
    </font>
    <font>
      <name val="Calibri"/>
      <color rgb="FF1B5E20"/>
      <sz val="10"/>
    </font>
    <font>
      <name val="Calibri"/>
      <b val="1"/>
      <color rgb="FFFFFFFF"/>
      <sz val="22"/>
    </font>
    <font>
      <name val="Calibri"/>
      <b val="1"/>
      <color rgb="FF2C3E6B"/>
      <sz val="13"/>
    </font>
    <font>
      <name val="Calibri"/>
      <b val="1"/>
      <color rgb="FF2C3E6B"/>
      <sz val="10"/>
    </font>
    <font>
      <name val="Calibri"/>
      <color rgb="FF1A1A2E"/>
      <sz val="10"/>
    </font>
    <font>
      <name val="Calibri"/>
      <b val="1"/>
      <color rgb="FF2C3E6B"/>
      <sz val="9"/>
    </font>
    <font>
      <name val="Calibri"/>
      <i val="1"/>
      <color rgb="FF1B5E20"/>
      <sz val="9"/>
    </font>
    <font>
      <name val="Calibri"/>
      <b val="1"/>
      <color rgb="FFFFFFFF"/>
      <sz val="13"/>
    </font>
    <font>
      <name val="Calibri"/>
      <b val="1"/>
      <color rgb="FFE94560"/>
      <sz val="13"/>
    </font>
    <font>
      <name val="Calibri"/>
      <i val="1"/>
      <color rgb="FF78909C"/>
      <sz val="8"/>
    </font>
    <font>
      <name val="Calibri"/>
      <color rgb="FF5C6BC0"/>
      <sz val="10"/>
    </font>
    <font>
      <name val="Calibri"/>
      <b val="1"/>
      <color rgb="FF1A1A2E"/>
      <sz val="10"/>
    </font>
  </fonts>
  <fills count="17">
    <fill>
      <patternFill/>
    </fill>
    <fill>
      <patternFill patternType="gray125"/>
    </fill>
    <fill>
      <patternFill patternType="solid">
        <fgColor rgb="FF1A1A2E"/>
      </patternFill>
    </fill>
    <fill>
      <patternFill patternType="solid">
        <fgColor rgb="FFFFFFFF"/>
      </patternFill>
    </fill>
    <fill>
      <patternFill patternType="solid">
        <fgColor rgb="FFEAF4FB"/>
      </patternFill>
    </fill>
    <fill>
      <patternFill patternType="solid">
        <fgColor rgb="FFF5F5F5"/>
      </patternFill>
    </fill>
    <fill>
      <patternFill patternType="solid">
        <fgColor rgb="FFE8F8F0"/>
      </patternFill>
    </fill>
    <fill>
      <patternFill patternType="solid">
        <fgColor rgb="FF16213E"/>
      </patternFill>
    </fill>
    <fill>
      <patternFill patternType="solid">
        <fgColor rgb="FFFFF3E0"/>
      </patternFill>
    </fill>
    <fill>
      <patternFill patternType="solid">
        <fgColor rgb="FF0F3460"/>
      </patternFill>
    </fill>
    <fill>
      <patternFill patternType="solid">
        <fgColor rgb="FF2C3E6B"/>
      </patternFill>
    </fill>
    <fill>
      <patternFill patternType="solid">
        <fgColor rgb="FFEEF0F8"/>
      </patternFill>
    </fill>
    <fill>
      <patternFill patternType="solid">
        <fgColor rgb="FFD8DDF5"/>
      </patternFill>
    </fill>
    <fill>
      <patternFill patternType="solid">
        <fgColor rgb="FFF0F3FF"/>
      </patternFill>
    </fill>
    <fill>
      <patternFill patternType="solid">
        <fgColor rgb="FFF0F8FF"/>
      </patternFill>
    </fill>
    <fill>
      <patternFill patternType="solid">
        <fgColor rgb="FFF5F7FF"/>
      </patternFill>
    </fill>
    <fill>
      <patternFill patternType="solid">
        <fgColor rgb="FFF0F4FF"/>
      </patternFill>
    </fill>
  </fills>
  <borders count="7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</border>
    <border>
      <left/>
      <right/>
      <top style="thin">
        <color rgb="FFB0BEC5"/>
      </top>
      <bottom/>
      <diagonal/>
    </border>
    <border>
      <left/>
      <right style="thin">
        <color rgb="FFB0BEC5"/>
      </right>
      <top style="thin">
        <color rgb="FFB0BEC5"/>
      </top>
      <bottom/>
      <diagonal/>
    </border>
    <border>
      <left/>
      <right/>
      <top style="thin">
        <color rgb="FFB0BEC5"/>
      </top>
      <bottom style="thin">
        <color rgb="FFB0BEC5"/>
      </bottom>
      <diagonal/>
    </border>
    <border>
      <left/>
      <right style="thin">
        <color rgb="FFB0BEC5"/>
      </right>
      <top style="thin">
        <color rgb="FFB0BEC5"/>
      </top>
      <bottom style="thin">
        <color rgb="FFB0BEC5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</border>
  </borders>
  <cellStyleXfs count="1">
    <xf numFmtId="0" fontId="0" fillId="0" borderId="0"/>
  </cellStyleXfs>
  <cellXfs count="143">
    <xf numFmtId="0" fontId="0" fillId="0" borderId="0" pivotButton="0" quotePrefix="0" xfId="0"/>
    <xf numFmtId="0" fontId="10" fillId="2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11" fillId="7" borderId="1" applyAlignment="1" pivotButton="0" quotePrefix="0" xfId="0">
      <alignment horizontal="left" vertical="center"/>
    </xf>
    <xf numFmtId="0" fontId="11" fillId="7" borderId="1" applyAlignment="1" pivotButton="0" quotePrefix="0" xfId="0">
      <alignment horizontal="center" vertical="center"/>
    </xf>
    <xf numFmtId="0" fontId="2" fillId="3" borderId="0" applyAlignment="1" pivotButton="0" quotePrefix="0" xfId="0">
      <alignment horizontal="left" vertical="center"/>
    </xf>
    <xf numFmtId="49" fontId="6" fillId="5" borderId="1" applyAlignment="1" pivotButton="0" quotePrefix="0" xfId="0">
      <alignment horizontal="right" vertical="center"/>
    </xf>
    <xf numFmtId="0" fontId="12" fillId="5" borderId="1" applyAlignment="1" pivotButton="0" quotePrefix="0" xfId="0">
      <alignment horizontal="center" vertical="center"/>
    </xf>
    <xf numFmtId="0" fontId="13" fillId="5" borderId="1" applyAlignment="1" pivotButton="0" quotePrefix="0" xfId="0">
      <alignment horizontal="left" vertical="center"/>
    </xf>
    <xf numFmtId="0" fontId="3" fillId="4" borderId="1" applyAlignment="1" pivotButton="0" quotePrefix="0" xfId="0">
      <alignment horizontal="left" vertical="center"/>
    </xf>
    <xf numFmtId="164" fontId="6" fillId="5" borderId="1" applyAlignment="1" pivotButton="0" quotePrefix="0" xfId="0">
      <alignment horizontal="right" vertical="center"/>
    </xf>
    <xf numFmtId="165" fontId="3" fillId="4" borderId="1" applyAlignment="1" pivotButton="0" quotePrefix="0" xfId="0">
      <alignment horizontal="left" vertical="center"/>
    </xf>
    <xf numFmtId="166" fontId="6" fillId="5" borderId="1" applyAlignment="1" pivotButton="0" quotePrefix="0" xfId="0">
      <alignment horizontal="right" vertical="center"/>
    </xf>
    <xf numFmtId="167" fontId="14" fillId="6" borderId="1" applyAlignment="1" pivotButton="0" quotePrefix="0" xfId="0">
      <alignment horizontal="right" vertical="center"/>
    </xf>
    <xf numFmtId="0" fontId="15" fillId="6" borderId="1" applyAlignment="1" pivotButton="0" quotePrefix="0" xfId="0">
      <alignment horizontal="left" vertical="center"/>
    </xf>
    <xf numFmtId="168" fontId="3" fillId="4" borderId="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167" fontId="16" fillId="8" borderId="1" applyAlignment="1" pivotButton="0" quotePrefix="0" xfId="0">
      <alignment horizontal="right" vertical="center"/>
    </xf>
    <xf numFmtId="0" fontId="17" fillId="8" borderId="1" applyAlignment="1" pivotButton="0" quotePrefix="0" xfId="0">
      <alignment horizontal="left" vertical="center"/>
    </xf>
    <xf numFmtId="0" fontId="3" fillId="4" borderId="1" applyAlignment="1" pivotButton="0" quotePrefix="0" xfId="0">
      <alignment horizontal="left" vertical="center" wrapText="1"/>
    </xf>
    <xf numFmtId="4" fontId="3" fillId="4" borderId="1" applyAlignment="1" pivotButton="0" quotePrefix="0" xfId="0">
      <alignment horizontal="left" vertical="center"/>
    </xf>
    <xf numFmtId="169" fontId="6" fillId="5" borderId="1" applyAlignment="1" pivotButton="0" quotePrefix="0" xfId="0">
      <alignment horizontal="right" vertical="center"/>
    </xf>
    <xf numFmtId="1" fontId="3" fillId="4" borderId="1" applyAlignment="1" pivotButton="0" quotePrefix="0" xfId="0">
      <alignment horizontal="left" vertical="center"/>
    </xf>
    <xf numFmtId="1" fontId="6" fillId="5" borderId="1" applyAlignment="1" pivotButton="0" quotePrefix="0" xfId="0">
      <alignment horizontal="right" vertical="center"/>
    </xf>
    <xf numFmtId="170" fontId="6" fillId="5" borderId="1" applyAlignment="1" pivotButton="0" quotePrefix="0" xfId="0">
      <alignment horizontal="right" vertical="center"/>
    </xf>
    <xf numFmtId="167" fontId="6" fillId="5" borderId="1" applyAlignment="1" pivotButton="0" quotePrefix="0" xfId="0">
      <alignment horizontal="right" vertical="center"/>
    </xf>
    <xf numFmtId="3" fontId="3" fillId="4" borderId="1" applyAlignment="1" pivotButton="0" quotePrefix="0" xfId="0">
      <alignment horizontal="left" vertical="center"/>
    </xf>
    <xf numFmtId="3" fontId="18" fillId="9" borderId="1" applyAlignment="1" pivotButton="0" quotePrefix="0" xfId="0">
      <alignment horizontal="right" vertical="center"/>
    </xf>
    <xf numFmtId="167" fontId="3" fillId="4" borderId="1" applyAlignment="1" pivotButton="0" quotePrefix="0" xfId="0">
      <alignment horizontal="left" vertical="center"/>
    </xf>
    <xf numFmtId="167" fontId="18" fillId="9" borderId="1" applyAlignment="1" pivotButton="0" quotePrefix="0" xfId="0">
      <alignment horizontal="right" vertical="center"/>
    </xf>
    <xf numFmtId="0" fontId="5" fillId="9" borderId="1" applyAlignment="1" pivotButton="0" quotePrefix="0" xfId="0">
      <alignment horizontal="center" vertical="center"/>
    </xf>
    <xf numFmtId="9" fontId="6" fillId="5" borderId="1" applyAlignment="1" pivotButton="0" quotePrefix="0" xfId="0">
      <alignment horizontal="right" vertical="center"/>
    </xf>
    <xf numFmtId="3" fontId="9" fillId="4" borderId="1" applyAlignment="1" pivotButton="0" quotePrefix="0" xfId="0">
      <alignment horizontal="center" vertical="center"/>
    </xf>
    <xf numFmtId="167" fontId="21" fillId="5" borderId="1" applyAlignment="1" pivotButton="0" quotePrefix="0" xfId="0">
      <alignment horizontal="right" vertical="center"/>
    </xf>
    <xf numFmtId="170" fontId="22" fillId="6" borderId="1" applyAlignment="1" pivotButton="0" quotePrefix="0" xfId="0">
      <alignment horizontal="center" vertical="center"/>
    </xf>
    <xf numFmtId="167" fontId="19" fillId="8" borderId="1" applyAlignment="1" pivotButton="0" quotePrefix="0" xfId="0">
      <alignment horizontal="right" vertical="center"/>
    </xf>
    <xf numFmtId="0" fontId="20" fillId="3" borderId="0" applyAlignment="1" pivotButton="0" quotePrefix="0" xfId="0">
      <alignment horizontal="center" vertical="center"/>
    </xf>
    <xf numFmtId="167" fontId="7" fillId="6" borderId="1" applyAlignment="1" pivotButton="0" quotePrefix="0" xfId="0">
      <alignment horizontal="right" vertical="center"/>
    </xf>
    <xf numFmtId="170" fontId="7" fillId="6" borderId="1" applyAlignment="1" pivotButton="0" quotePrefix="0" xfId="0">
      <alignment horizontal="right" vertical="center"/>
    </xf>
    <xf numFmtId="167" fontId="0" fillId="0" borderId="0" pivotButton="0" quotePrefix="0" xfId="0"/>
    <xf numFmtId="0" fontId="5" fillId="2" borderId="1" applyAlignment="1" pivotButton="0" quotePrefix="0" xfId="0">
      <alignment horizontal="center" vertical="center"/>
    </xf>
    <xf numFmtId="3" fontId="3" fillId="4" borderId="1" applyAlignment="1" pivotButton="0" quotePrefix="0" xfId="0">
      <alignment horizontal="center" vertical="center"/>
    </xf>
    <xf numFmtId="9" fontId="6" fillId="5" borderId="1" applyAlignment="1" pivotButton="0" quotePrefix="0" xfId="0">
      <alignment horizontal="center" vertical="center"/>
    </xf>
    <xf numFmtId="9" fontId="7" fillId="6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9" fillId="4" borderId="1" applyAlignment="1" pivotButton="0" quotePrefix="0" xfId="0">
      <alignment horizontal="left" vertical="center"/>
    </xf>
    <xf numFmtId="0" fontId="6" fillId="5" borderId="1" applyAlignment="1" pivotButton="0" quotePrefix="0" xfId="0">
      <alignment horizontal="center" vertical="center"/>
    </xf>
    <xf numFmtId="167" fontId="6" fillId="5" borderId="1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left" vertical="center"/>
    </xf>
    <xf numFmtId="171" fontId="3" fillId="4" borderId="1" applyAlignment="1" pivotButton="0" quotePrefix="0" xfId="0">
      <alignment horizontal="left" vertical="center"/>
    </xf>
    <xf numFmtId="172" fontId="3" fillId="4" borderId="1" applyAlignment="1" pivotButton="0" quotePrefix="0" xfId="0">
      <alignment horizontal="left" vertical="center"/>
    </xf>
    <xf numFmtId="170" fontId="3" fillId="4" borderId="1" applyAlignment="1" pivotButton="0" quotePrefix="0" xfId="0">
      <alignment horizontal="left" vertical="center"/>
    </xf>
    <xf numFmtId="9" fontId="3" fillId="4" borderId="1" applyAlignment="1" pivotButton="0" quotePrefix="0" xfId="0">
      <alignment horizontal="left" vertical="center"/>
    </xf>
    <xf numFmtId="173" fontId="3" fillId="4" borderId="1" applyAlignment="1" pivotButton="0" quotePrefix="0" xfId="0">
      <alignment horizontal="left" vertical="center"/>
    </xf>
    <xf numFmtId="0" fontId="23" fillId="2" borderId="0" applyAlignment="1" pivotButton="0" quotePrefix="0" xfId="0">
      <alignment horizontal="left" vertical="center"/>
    </xf>
    <xf numFmtId="0" fontId="24" fillId="3" borderId="0" applyAlignment="1" pivotButton="0" quotePrefix="0" xfId="0">
      <alignment horizontal="left" vertical="center"/>
    </xf>
    <xf numFmtId="0" fontId="5" fillId="10" borderId="1" applyAlignment="1" pivotButton="0" quotePrefix="0" xfId="0">
      <alignment horizontal="left" vertical="center"/>
    </xf>
    <xf numFmtId="0" fontId="25" fillId="11" borderId="1" applyAlignment="1" pivotButton="0" quotePrefix="0" xfId="0">
      <alignment horizontal="left" vertical="center"/>
    </xf>
    <xf numFmtId="0" fontId="26" fillId="3" borderId="1" applyAlignment="1" pivotButton="0" quotePrefix="0" xfId="0">
      <alignment horizontal="left" vertical="center"/>
    </xf>
    <xf numFmtId="165" fontId="26" fillId="3" borderId="1" applyAlignment="1" pivotButton="0" quotePrefix="0" xfId="0">
      <alignment horizontal="left" vertical="center"/>
    </xf>
    <xf numFmtId="0" fontId="26" fillId="3" borderId="1" applyAlignment="1" pivotButton="0" quotePrefix="0" xfId="0">
      <alignment horizontal="left" vertical="top" wrapText="1"/>
    </xf>
    <xf numFmtId="0" fontId="27" fillId="12" borderId="1" applyAlignment="1" pivotButton="0" quotePrefix="0" xfId="0">
      <alignment horizontal="center" vertical="center"/>
    </xf>
    <xf numFmtId="3" fontId="26" fillId="13" borderId="1" applyAlignment="1" pivotButton="0" quotePrefix="0" xfId="0">
      <alignment horizontal="center" vertical="center"/>
    </xf>
    <xf numFmtId="167" fontId="26" fillId="13" borderId="1" applyAlignment="1" pivotButton="0" quotePrefix="0" xfId="0">
      <alignment horizontal="center" vertical="center"/>
    </xf>
    <xf numFmtId="0" fontId="26" fillId="13" borderId="1" applyAlignment="1" pivotButton="0" quotePrefix="0" xfId="0">
      <alignment horizontal="center" vertical="center"/>
    </xf>
    <xf numFmtId="3" fontId="26" fillId="3" borderId="1" applyAlignment="1" pivotButton="0" quotePrefix="0" xfId="0">
      <alignment horizontal="center" vertical="center"/>
    </xf>
    <xf numFmtId="167" fontId="26" fillId="3" borderId="1" applyAlignment="1" pivotButton="0" quotePrefix="0" xfId="0">
      <alignment horizontal="center" vertical="center"/>
    </xf>
    <xf numFmtId="0" fontId="26" fillId="3" borderId="1" applyAlignment="1" pivotButton="0" quotePrefix="0" xfId="0">
      <alignment horizontal="center" vertical="center"/>
    </xf>
    <xf numFmtId="0" fontId="25" fillId="14" borderId="1" applyAlignment="1" pivotButton="0" quotePrefix="0" xfId="0">
      <alignment horizontal="left" vertical="center"/>
    </xf>
    <xf numFmtId="167" fontId="26" fillId="14" borderId="1" applyAlignment="1" pivotButton="0" quotePrefix="0" xfId="0">
      <alignment horizontal="center" vertical="center"/>
    </xf>
    <xf numFmtId="0" fontId="26" fillId="14" borderId="1" applyAlignment="1" pivotButton="0" quotePrefix="0" xfId="0">
      <alignment horizontal="center" vertical="center"/>
    </xf>
    <xf numFmtId="0" fontId="25" fillId="3" borderId="1" applyAlignment="1" pivotButton="0" quotePrefix="0" xfId="0">
      <alignment horizontal="left" vertical="center"/>
    </xf>
    <xf numFmtId="0" fontId="29" fillId="9" borderId="1" applyAlignment="1" pivotButton="0" quotePrefix="0" xfId="0">
      <alignment horizontal="left" vertical="center"/>
    </xf>
    <xf numFmtId="167" fontId="30" fillId="8" borderId="1" applyAlignment="1" pivotButton="0" quotePrefix="0" xfId="0">
      <alignment horizontal="right" vertical="center"/>
    </xf>
    <xf numFmtId="0" fontId="31" fillId="0" borderId="0" applyAlignment="1" pivotButton="0" quotePrefix="0" xfId="0">
      <alignment horizontal="left" vertical="center" wrapText="1"/>
    </xf>
    <xf numFmtId="0" fontId="18" fillId="2" borderId="1" applyAlignment="1" pivotButton="0" quotePrefix="0" xfId="0">
      <alignment horizontal="center" vertical="center"/>
    </xf>
    <xf numFmtId="0" fontId="18" fillId="9" borderId="1" applyAlignment="1" pivotButton="0" quotePrefix="0" xfId="0">
      <alignment horizontal="center" vertical="center"/>
    </xf>
    <xf numFmtId="0" fontId="8" fillId="9" borderId="1" applyAlignment="1" pivotButton="0" quotePrefix="0" xfId="0">
      <alignment horizontal="center" vertical="center"/>
    </xf>
    <xf numFmtId="0" fontId="25" fillId="11" borderId="6" applyAlignment="1" pivotButton="0" quotePrefix="0" xfId="0">
      <alignment horizontal="center" vertical="center"/>
    </xf>
    <xf numFmtId="0" fontId="6" fillId="3" borderId="6" applyAlignment="1" pivotButton="0" quotePrefix="0" xfId="0">
      <alignment horizontal="center" vertical="center"/>
    </xf>
    <xf numFmtId="165" fontId="6" fillId="3" borderId="6" applyAlignment="1" pivotButton="0" quotePrefix="0" xfId="0">
      <alignment horizontal="center" vertical="center"/>
    </xf>
    <xf numFmtId="0" fontId="6" fillId="3" borderId="6" applyAlignment="1" pivotButton="0" quotePrefix="0" xfId="0">
      <alignment horizontal="left" vertical="center"/>
    </xf>
    <xf numFmtId="3" fontId="6" fillId="3" borderId="6" applyAlignment="1" pivotButton="0" quotePrefix="0" xfId="0">
      <alignment horizontal="center" vertical="center"/>
    </xf>
    <xf numFmtId="164" fontId="6" fillId="3" borderId="6" applyAlignment="1" pivotButton="0" quotePrefix="0" xfId="0">
      <alignment horizontal="center" vertical="center"/>
    </xf>
    <xf numFmtId="167" fontId="6" fillId="3" borderId="6" applyAlignment="1" pivotButton="0" quotePrefix="0" xfId="0">
      <alignment horizontal="center" vertical="center"/>
    </xf>
    <xf numFmtId="170" fontId="6" fillId="3" borderId="6" applyAlignment="1" pivotButton="0" quotePrefix="0" xfId="0">
      <alignment horizontal="center" vertical="center"/>
    </xf>
    <xf numFmtId="0" fontId="32" fillId="3" borderId="6" applyAlignment="1" pivotButton="0" quotePrefix="0" xfId="0">
      <alignment horizontal="left" vertical="center"/>
    </xf>
    <xf numFmtId="0" fontId="32" fillId="3" borderId="6" applyAlignment="1" pivotButton="0" quotePrefix="0" xfId="0">
      <alignment horizontal="center" vertical="center"/>
    </xf>
    <xf numFmtId="167" fontId="32" fillId="3" borderId="6" applyAlignment="1" pivotButton="0" quotePrefix="0" xfId="0">
      <alignment horizontal="center" vertical="center"/>
    </xf>
    <xf numFmtId="165" fontId="32" fillId="3" borderId="6" applyAlignment="1" pivotButton="0" quotePrefix="0" xfId="0">
      <alignment horizontal="center" vertical="center"/>
    </xf>
    <xf numFmtId="0" fontId="6" fillId="15" borderId="6" applyAlignment="1" pivotButton="0" quotePrefix="0" xfId="0">
      <alignment horizontal="center" vertical="center"/>
    </xf>
    <xf numFmtId="165" fontId="6" fillId="15" borderId="6" applyAlignment="1" pivotButton="0" quotePrefix="0" xfId="0">
      <alignment horizontal="center" vertical="center"/>
    </xf>
    <xf numFmtId="0" fontId="6" fillId="15" borderId="6" applyAlignment="1" pivotButton="0" quotePrefix="0" xfId="0">
      <alignment horizontal="left" vertical="center"/>
    </xf>
    <xf numFmtId="3" fontId="6" fillId="15" borderId="6" applyAlignment="1" pivotButton="0" quotePrefix="0" xfId="0">
      <alignment horizontal="center" vertical="center"/>
    </xf>
    <xf numFmtId="164" fontId="6" fillId="15" borderId="6" applyAlignment="1" pivotButton="0" quotePrefix="0" xfId="0">
      <alignment horizontal="center" vertical="center"/>
    </xf>
    <xf numFmtId="167" fontId="6" fillId="15" borderId="6" applyAlignment="1" pivotButton="0" quotePrefix="0" xfId="0">
      <alignment horizontal="center" vertical="center"/>
    </xf>
    <xf numFmtId="170" fontId="6" fillId="15" borderId="6" applyAlignment="1" pivotButton="0" quotePrefix="0" xfId="0">
      <alignment horizontal="center" vertical="center"/>
    </xf>
    <xf numFmtId="0" fontId="32" fillId="16" borderId="6" applyAlignment="1" pivotButton="0" quotePrefix="0" xfId="0">
      <alignment horizontal="left" vertical="center"/>
    </xf>
    <xf numFmtId="0" fontId="32" fillId="16" borderId="6" applyAlignment="1" pivotButton="0" quotePrefix="0" xfId="0">
      <alignment horizontal="center" vertical="center"/>
    </xf>
    <xf numFmtId="167" fontId="32" fillId="16" borderId="6" applyAlignment="1" pivotButton="0" quotePrefix="0" xfId="0">
      <alignment horizontal="center" vertical="center"/>
    </xf>
    <xf numFmtId="165" fontId="32" fillId="16" borderId="6" applyAlignment="1" pivotButton="0" quotePrefix="0" xfId="0">
      <alignment horizontal="center" vertical="center"/>
    </xf>
    <xf numFmtId="164" fontId="6" fillId="5" borderId="1" applyAlignment="1" pivotButton="0" quotePrefix="0" xfId="0">
      <alignment horizontal="right" vertical="center"/>
    </xf>
    <xf numFmtId="165" fontId="3" fillId="4" borderId="1" applyAlignment="1" pivotButton="0" quotePrefix="0" xfId="0">
      <alignment horizontal="left" vertical="center"/>
    </xf>
    <xf numFmtId="166" fontId="6" fillId="5" borderId="1" applyAlignment="1" pivotButton="0" quotePrefix="0" xfId="0">
      <alignment horizontal="right" vertical="center"/>
    </xf>
    <xf numFmtId="167" fontId="14" fillId="6" borderId="1" applyAlignment="1" pivotButton="0" quotePrefix="0" xfId="0">
      <alignment horizontal="right" vertical="center"/>
    </xf>
    <xf numFmtId="168" fontId="3" fillId="4" borderId="1" applyAlignment="1" pivotButton="0" quotePrefix="0" xfId="0">
      <alignment horizontal="left" vertical="center"/>
    </xf>
    <xf numFmtId="167" fontId="16" fillId="8" borderId="1" applyAlignment="1" pivotButton="0" quotePrefix="0" xfId="0">
      <alignment horizontal="right" vertical="center"/>
    </xf>
    <xf numFmtId="169" fontId="6" fillId="5" borderId="1" applyAlignment="1" pivotButton="0" quotePrefix="0" xfId="0">
      <alignment horizontal="right" vertical="center"/>
    </xf>
    <xf numFmtId="170" fontId="6" fillId="5" borderId="1" applyAlignment="1" pivotButton="0" quotePrefix="0" xfId="0">
      <alignment horizontal="right" vertical="center"/>
    </xf>
    <xf numFmtId="167" fontId="6" fillId="5" borderId="1" applyAlignment="1" pivotButton="0" quotePrefix="0" xfId="0">
      <alignment horizontal="right" vertical="center"/>
    </xf>
    <xf numFmtId="167" fontId="3" fillId="4" borderId="1" applyAlignment="1" pivotButton="0" quotePrefix="0" xfId="0">
      <alignment horizontal="left" vertical="center"/>
    </xf>
    <xf numFmtId="167" fontId="18" fillId="9" borderId="1" applyAlignment="1" pivotButton="0" quotePrefix="0" xfId="0">
      <alignment horizontal="right" vertical="center"/>
    </xf>
    <xf numFmtId="167" fontId="21" fillId="5" borderId="1" applyAlignment="1" pivotButton="0" quotePrefix="0" xfId="0">
      <alignment horizontal="right" vertical="center"/>
    </xf>
    <xf numFmtId="170" fontId="22" fillId="6" borderId="1" applyAlignment="1" pivotButton="0" quotePrefix="0" xfId="0">
      <alignment horizontal="center" vertical="center"/>
    </xf>
    <xf numFmtId="167" fontId="19" fillId="8" borderId="1" applyAlignment="1" pivotButton="0" quotePrefix="0" xfId="0">
      <alignment horizontal="right" vertical="center"/>
    </xf>
    <xf numFmtId="167" fontId="7" fillId="6" borderId="1" applyAlignment="1" pivotButton="0" quotePrefix="0" xfId="0">
      <alignment horizontal="right" vertical="center"/>
    </xf>
    <xf numFmtId="170" fontId="7" fillId="6" borderId="1" applyAlignment="1" pivotButton="0" quotePrefix="0" xfId="0">
      <alignment horizontal="right" vertical="center"/>
    </xf>
    <xf numFmtId="167" fontId="0" fillId="0" borderId="0" pivotButton="0" quotePrefix="0" xfId="0"/>
    <xf numFmtId="167" fontId="6" fillId="5" borderId="1" applyAlignment="1" pivotButton="0" quotePrefix="0" xfId="0">
      <alignment horizontal="center" vertical="center"/>
    </xf>
    <xf numFmtId="171" fontId="3" fillId="4" borderId="1" applyAlignment="1" pivotButton="0" quotePrefix="0" xfId="0">
      <alignment horizontal="left" vertical="center"/>
    </xf>
    <xf numFmtId="172" fontId="3" fillId="4" borderId="1" applyAlignment="1" pivotButton="0" quotePrefix="0" xfId="0">
      <alignment horizontal="left" vertical="center"/>
    </xf>
    <xf numFmtId="170" fontId="3" fillId="4" borderId="1" applyAlignment="1" pivotButton="0" quotePrefix="0" xfId="0">
      <alignment horizontal="left" vertical="center"/>
    </xf>
    <xf numFmtId="173" fontId="3" fillId="4" borderId="1" applyAlignment="1" pivotButton="0" quotePrefix="0" xfId="0">
      <alignment horizontal="left" vertical="center"/>
    </xf>
    <xf numFmtId="165" fontId="26" fillId="3" borderId="1" applyAlignment="1" pivotButton="0" quotePrefix="0" xfId="0">
      <alignment horizontal="left" vertical="center"/>
    </xf>
    <xf numFmtId="167" fontId="26" fillId="13" borderId="1" applyAlignment="1" pivotButton="0" quotePrefix="0" xfId="0">
      <alignment horizontal="center" vertical="center"/>
    </xf>
    <xf numFmtId="167" fontId="26" fillId="3" borderId="1" applyAlignment="1" pivotButton="0" quotePrefix="0" xfId="0">
      <alignment horizontal="center" vertical="center"/>
    </xf>
    <xf numFmtId="167" fontId="26" fillId="14" borderId="1" applyAlignment="1" pivotButton="0" quotePrefix="0" xfId="0">
      <alignment horizontal="center" vertical="center"/>
    </xf>
    <xf numFmtId="167" fontId="30" fillId="8" borderId="1" applyAlignment="1" pivotButton="0" quotePrefix="0" xfId="0">
      <alignment horizontal="right" vertical="center"/>
    </xf>
    <xf numFmtId="165" fontId="6" fillId="3" borderId="6" applyAlignment="1" pivotButton="0" quotePrefix="0" xfId="0">
      <alignment horizontal="center" vertical="center"/>
    </xf>
    <xf numFmtId="164" fontId="6" fillId="3" borderId="6" applyAlignment="1" pivotButton="0" quotePrefix="0" xfId="0">
      <alignment horizontal="center" vertical="center"/>
    </xf>
    <xf numFmtId="167" fontId="6" fillId="3" borderId="6" applyAlignment="1" pivotButton="0" quotePrefix="0" xfId="0">
      <alignment horizontal="center" vertical="center"/>
    </xf>
    <xf numFmtId="170" fontId="6" fillId="3" borderId="6" applyAlignment="1" pivotButton="0" quotePrefix="0" xfId="0">
      <alignment horizontal="center" vertical="center"/>
    </xf>
    <xf numFmtId="167" fontId="32" fillId="3" borderId="6" applyAlignment="1" pivotButton="0" quotePrefix="0" xfId="0">
      <alignment horizontal="center" vertical="center"/>
    </xf>
    <xf numFmtId="165" fontId="32" fillId="3" borderId="6" applyAlignment="1" pivotButton="0" quotePrefix="0" xfId="0">
      <alignment horizontal="center" vertical="center"/>
    </xf>
    <xf numFmtId="165" fontId="6" fillId="15" borderId="6" applyAlignment="1" pivotButton="0" quotePrefix="0" xfId="0">
      <alignment horizontal="center" vertical="center"/>
    </xf>
    <xf numFmtId="164" fontId="6" fillId="15" borderId="6" applyAlignment="1" pivotButton="0" quotePrefix="0" xfId="0">
      <alignment horizontal="center" vertical="center"/>
    </xf>
    <xf numFmtId="167" fontId="6" fillId="15" borderId="6" applyAlignment="1" pivotButton="0" quotePrefix="0" xfId="0">
      <alignment horizontal="center" vertical="center"/>
    </xf>
    <xf numFmtId="170" fontId="6" fillId="15" borderId="6" applyAlignment="1" pivotButton="0" quotePrefix="0" xfId="0">
      <alignment horizontal="center" vertical="center"/>
    </xf>
    <xf numFmtId="167" fontId="32" fillId="16" borderId="6" applyAlignment="1" pivotButton="0" quotePrefix="0" xfId="0">
      <alignment horizontal="center" vertical="center"/>
    </xf>
    <xf numFmtId="165" fontId="32" fillId="16" borderId="6" applyAlignment="1" pivotButton="0" quotePrefix="0" xfId="0">
      <alignment horizontal="center" vertical="center"/>
    </xf>
    <xf numFmtId="174" fontId="33" fillId="3" borderId="1" applyAlignment="1" pivotButton="0" quotePrefix="0" xfId="0">
      <alignment horizontal="right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worksheets/sheet1.xml" Id="rId1"/><Relationship Type="http://schemas.openxmlformats.org/officeDocument/2006/relationships/worksheet" Target="worksheets/sheet2.xml" Id="rId2"/><Relationship Type="http://schemas.openxmlformats.org/officeDocument/2006/relationships/worksheet" Target="worksheets/sheet3.xml" Id="rId3"/><Relationship Type="http://schemas.openxmlformats.org/officeDocument/2006/relationships/worksheet" Target="worksheets/sheet4.xml" Id="rId4"/><Relationship Type="http://schemas.openxmlformats.org/officeDocument/2006/relationships/worksheet" Target="worksheets/sheet5.xml" Id="rId5"/><Relationship Type="http://schemas.openxmlformats.org/officeDocument/2006/relationships/worksheet" Target="worksheets/sheet6.xml" Id="rId6"/><Relationship Type="http://schemas.openxmlformats.org/officeDocument/2006/relationships/worksheet" Target="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78"/>
  <sheetViews>
    <sheetView workbookViewId="0">
      <selection activeCell="A1" sqref="A1"/>
    </sheetView>
  </sheetViews>
  <sheetFormatPr baseColWidth="8" defaultRowHeight="15"/>
  <cols>
    <col width="30" customWidth="1" min="1" max="1"/>
    <col width="14" customWidth="1" min="2" max="2"/>
    <col width="9" customWidth="1" min="3" max="3"/>
    <col width="18" customWidth="1" min="4" max="4"/>
    <col width="5" customWidth="1" min="5" max="5"/>
    <col width="14" customWidth="1" min="6" max="6"/>
    <col width="16" customWidth="1" min="7" max="7"/>
    <col width="20" customWidth="1" min="8" max="8"/>
  </cols>
  <sheetData>
    <row r="1" ht="36" customHeight="1">
      <c r="A1" s="1" t="inlineStr">
        <is>
          <t>LNL3D  -  JOB PRINTING QUOTE</t>
        </is>
      </c>
      <c r="B1" s="2" t="n"/>
      <c r="C1" s="2" t="n"/>
      <c r="D1" s="2" t="n"/>
      <c r="E1" s="2" t="n"/>
      <c r="F1" s="2" t="n"/>
      <c r="G1" s="2" t="n"/>
      <c r="H1" s="3" t="n"/>
    </row>
    <row r="2" ht="18" customHeight="1">
      <c r="A2" s="4" t="inlineStr">
        <is>
          <t>CUSTOMER DETAILS</t>
        </is>
      </c>
      <c r="B2" s="2" t="n"/>
      <c r="C2" s="2" t="n"/>
      <c r="D2" s="2" t="n"/>
      <c r="E2" s="2" t="n"/>
      <c r="F2" s="3" t="n"/>
      <c r="G2" s="5" t="inlineStr">
        <is>
          <t>QUICK SUMMARY</t>
        </is>
      </c>
      <c r="H2" s="3" t="n"/>
    </row>
    <row r="3" ht="18" customHeight="1">
      <c r="A3" s="6" t="inlineStr">
        <is>
          <t>Quote ID</t>
        </is>
      </c>
      <c r="B3" s="7">
        <f>TEXT(General!B12,"000")&amp;"-"&amp;IF(B5="","NODATE",TEXT(B5,"YYYYMMDD"))&amp;"-"&amp;IF(B4="","NEW",UPPER(LEFT(SUBSTITUTE(B4," ",""),3)))</f>
        <v/>
      </c>
      <c r="C3" s="3" t="n"/>
      <c r="G3" s="8">
        <f>B13</f>
        <v/>
      </c>
      <c r="H3" s="9" t="inlineStr">
        <is>
          <t>&lt;- Material</t>
        </is>
      </c>
    </row>
    <row r="4" ht="18" customHeight="1">
      <c r="A4" s="6" t="inlineStr">
        <is>
          <t>Customer</t>
        </is>
      </c>
      <c r="B4" s="10" t="inlineStr">
        <is>
          <t>Daniel Alvarez</t>
        </is>
      </c>
      <c r="C4" s="3" t="n"/>
      <c r="G4" s="103">
        <f>D15</f>
        <v/>
      </c>
      <c r="H4" s="9" t="inlineStr">
        <is>
          <t>&lt;- Print time</t>
        </is>
      </c>
    </row>
    <row r="5" ht="18" customHeight="1">
      <c r="A5" s="6" t="inlineStr">
        <is>
          <t>Date</t>
        </is>
      </c>
      <c r="B5" s="104" t="n"/>
      <c r="C5" s="3" t="n"/>
      <c r="G5" s="105">
        <f>B14</f>
        <v/>
      </c>
      <c r="H5" s="9" t="inlineStr">
        <is>
          <t>&lt;- Weight</t>
        </is>
      </c>
    </row>
    <row r="6" ht="18" customHeight="1">
      <c r="A6" s="6" t="inlineStr">
        <is>
          <t>Description</t>
        </is>
      </c>
      <c r="B6" s="10" t="inlineStr">
        <is>
          <t>Fan Motor Mount</t>
        </is>
      </c>
      <c r="C6" s="2" t="n"/>
      <c r="D6" s="3" t="n"/>
      <c r="G6" s="106">
        <f>B63</f>
        <v/>
      </c>
      <c r="H6" s="15" t="inlineStr">
        <is>
          <t>&lt;- Suggested Price</t>
        </is>
      </c>
    </row>
    <row r="7" ht="18" customHeight="1">
      <c r="A7" s="6" t="inlineStr">
        <is>
          <t>Rush Multiplier</t>
        </is>
      </c>
      <c r="B7" s="107" t="n">
        <v>1</v>
      </c>
      <c r="C7" s="17" t="inlineStr">
        <is>
          <t>1.0 = standard, 1.5 = rush, 2.0 = urgent</t>
        </is>
      </c>
      <c r="G7" s="108">
        <f>IF(B64&gt;0,B64,"-")</f>
        <v/>
      </c>
      <c r="H7" s="19" t="inlineStr">
        <is>
          <t>&lt;- Quoted Price</t>
        </is>
      </c>
    </row>
    <row r="8" ht="18" customHeight="1">
      <c r="A8" s="6" t="inlineStr">
        <is>
          <t>Job Status</t>
        </is>
      </c>
      <c r="B8" s="10" t="inlineStr">
        <is>
          <t>Quoting</t>
        </is>
      </c>
      <c r="C8" s="3" t="n"/>
      <c r="D8" s="17" t="inlineStr">
        <is>
          <t>Quoting / Accepted / In Progress / Complete / Declined</t>
        </is>
      </c>
    </row>
    <row r="9" ht="18" customHeight="1">
      <c r="A9" s="6" t="inlineStr">
        <is>
          <t>Quote Expiry</t>
        </is>
      </c>
      <c r="B9" s="104">
        <f>IF(B5="","",IF(ISNUMBER(B5),B5+30,DATEVALUE(TEXT(B5,"MM/DD/YYYY"))+30))</f>
        <v/>
      </c>
      <c r="C9" s="3" t="n"/>
      <c r="D9" s="17" t="inlineStr">
        <is>
          <t>Date this quote expires</t>
        </is>
      </c>
    </row>
    <row r="10" ht="30" customHeight="1">
      <c r="A10" s="6" t="inlineStr">
        <is>
          <t>Notes</t>
        </is>
      </c>
      <c r="B10" s="20" t="n"/>
      <c r="C10" s="2" t="n"/>
      <c r="D10" s="2" t="n"/>
      <c r="E10" s="2" t="n"/>
      <c r="F10" s="2" t="n"/>
      <c r="G10" s="2" t="n"/>
      <c r="H10" s="3" t="n"/>
    </row>
    <row r="11" ht="18" customHeight="1">
      <c r="A11" s="4" t="inlineStr">
        <is>
          <t>GENERAL PRINT DETAILS</t>
        </is>
      </c>
      <c r="B11" s="2" t="n"/>
      <c r="C11" s="2" t="n"/>
      <c r="D11" s="2" t="n"/>
      <c r="E11" s="2" t="n"/>
      <c r="F11" s="2" t="n"/>
      <c r="G11" s="2" t="n"/>
      <c r="H11" s="3" t="n"/>
    </row>
    <row r="12" ht="18" customHeight="1">
      <c r="A12" s="6" t="inlineStr">
        <is>
          <t>Printer</t>
        </is>
      </c>
      <c r="B12" s="10" t="inlineStr">
        <is>
          <t>Tenlog TL-D3</t>
        </is>
      </c>
      <c r="C12" s="3" t="n"/>
    </row>
    <row r="13" ht="18" customHeight="1">
      <c r="A13" s="6" t="inlineStr">
        <is>
          <t>Filament (primary)</t>
        </is>
      </c>
      <c r="B13" s="10" t="inlineStr">
        <is>
          <t>PETG</t>
        </is>
      </c>
      <c r="C13" s="3" t="n"/>
    </row>
    <row r="14" ht="18" customHeight="1">
      <c r="A14" s="6" t="inlineStr">
        <is>
          <t>Weight (primary)</t>
        </is>
      </c>
      <c r="B14" s="21" t="n">
        <v>78.84999999999999</v>
      </c>
      <c r="C14" t="inlineStr">
        <is>
          <t>g</t>
        </is>
      </c>
      <c r="D14" s="109">
        <f>(B14/VLOOKUP(B13,Materials!A2:J100,5,FALSE))*4/(VLOOKUP(B13,Materials!A2:J100,2,FALSE)^2*PI())</f>
        <v/>
      </c>
      <c r="E14" t="inlineStr">
        <is>
          <t>m</t>
        </is>
      </c>
    </row>
    <row r="15" ht="18" customHeight="1">
      <c r="A15" s="6" t="inlineStr">
        <is>
          <t>Printing time</t>
        </is>
      </c>
      <c r="B15" s="10" t="inlineStr">
        <is>
          <t>5:47</t>
        </is>
      </c>
      <c r="C15" s="17" t="inlineStr">
        <is>
          <t>hh:mm or decimal hrs</t>
        </is>
      </c>
      <c r="D15" s="103">
        <f>IFERROR(IF(ISNUMBER(B15),IF(B15&lt;1,B15*24,B15),LEFT(B15,FIND(":",B15)-1)+RIGHT(B15,LEN(B15)-FIND(":",B15))/60),0)</f>
        <v/>
      </c>
      <c r="E15" t="inlineStr">
        <is>
          <t>h</t>
        </is>
      </c>
    </row>
    <row r="16" ht="18" customHeight="1">
      <c r="A16" s="6" t="inlineStr">
        <is>
          <t>Model Complexity</t>
        </is>
      </c>
      <c r="B16" s="23" t="n">
        <v>2</v>
      </c>
      <c r="C16" t="inlineStr">
        <is>
          <t>1-10</t>
        </is>
      </c>
      <c r="D16" s="17" t="inlineStr">
        <is>
          <t>1 = simple, 10 = complex</t>
        </is>
      </c>
    </row>
    <row r="17" ht="18" customHeight="1">
      <c r="A17" s="6" t="inlineStr">
        <is>
          <t>Filament Wear/Difficulty</t>
        </is>
      </c>
      <c r="B17" s="24">
        <f>IFERROR(VLOOKUP(B13,Materials!A2:G100,2,FALSE),0)</f>
        <v/>
      </c>
      <c r="C17" s="3" t="n"/>
      <c r="D17" s="17" t="inlineStr">
        <is>
          <t>from Materials table</t>
        </is>
      </c>
    </row>
    <row r="18" ht="18" customHeight="1">
      <c r="A18" s="6" t="inlineStr">
        <is>
          <t>Failure Rate</t>
        </is>
      </c>
      <c r="B18" s="110">
        <f>MIN(General!B5+(((B16+B17)/2)*General!B5),General!B9)</f>
        <v/>
      </c>
      <c r="C18" s="3" t="n"/>
      <c r="D18" s="17" t="inlineStr">
        <is>
          <t>base rate + complexity, capped at General!B9</t>
        </is>
      </c>
    </row>
    <row r="19" ht="18" customHeight="1">
      <c r="A19" s="4" t="inlineStr">
        <is>
          <t>SECONDARY MATERIAL (optional)</t>
        </is>
      </c>
      <c r="B19" s="2" t="n"/>
      <c r="C19" s="2" t="n"/>
      <c r="D19" s="2" t="n"/>
      <c r="E19" s="2" t="n"/>
      <c r="F19" s="2" t="n"/>
      <c r="G19" s="2" t="n"/>
      <c r="H19" s="3" t="n"/>
    </row>
    <row r="20" ht="18" customHeight="1">
      <c r="A20" s="6" t="inlineStr">
        <is>
          <t>Support filament</t>
        </is>
      </c>
      <c r="B20" s="10" t="n"/>
      <c r="C20" s="3" t="n"/>
      <c r="D20" s="17" t="inlineStr">
        <is>
          <t>leave blank if none</t>
        </is>
      </c>
    </row>
    <row r="21" ht="18" customHeight="1">
      <c r="A21" s="6" t="inlineStr">
        <is>
          <t>Support weight</t>
        </is>
      </c>
      <c r="B21" s="21" t="n"/>
      <c r="C21" t="inlineStr">
        <is>
          <t>g</t>
        </is>
      </c>
      <c r="D21" s="111">
        <f>IF(B20="",0,B21/1000*VLOOKUP(B20,Materials!A2:J100,4,FALSE))</f>
        <v/>
      </c>
      <c r="E21" t="inlineStr">
        <is>
          <t>cost</t>
        </is>
      </c>
    </row>
    <row r="22" ht="18" customHeight="1">
      <c r="A22" s="4" t="inlineStr">
        <is>
          <t>PREPARATION</t>
        </is>
      </c>
      <c r="B22" s="2" t="n"/>
      <c r="C22" s="2" t="n"/>
      <c r="D22" s="2" t="n"/>
      <c r="E22" s="2" t="n"/>
      <c r="F22" s="2" t="n"/>
      <c r="G22" s="2" t="n"/>
      <c r="H22" s="3" t="n"/>
    </row>
    <row r="23" ht="18" customHeight="1">
      <c r="A23" s="6" t="inlineStr">
        <is>
          <t>Model prep (Fixing, CAD)</t>
        </is>
      </c>
      <c r="B23" s="27" t="n">
        <v>30</v>
      </c>
      <c r="C23" t="inlineStr">
        <is>
          <t>min</t>
        </is>
      </c>
    </row>
    <row r="24" ht="18" customHeight="1">
      <c r="A24" s="6" t="inlineStr">
        <is>
          <t>Slicing (Supports, Parameters)</t>
        </is>
      </c>
      <c r="B24" s="27" t="n">
        <v>0</v>
      </c>
      <c r="C24" t="inlineStr">
        <is>
          <t>min</t>
        </is>
      </c>
    </row>
    <row r="25" ht="18" customHeight="1">
      <c r="A25" s="6" t="inlineStr">
        <is>
          <t>Sum</t>
        </is>
      </c>
      <c r="B25" s="28">
        <f>SUM(B23:B24)</f>
        <v/>
      </c>
      <c r="C25" t="inlineStr">
        <is>
          <t>min</t>
        </is>
      </c>
    </row>
    <row r="26" ht="18" customHeight="1">
      <c r="A26" s="4" t="inlineStr">
        <is>
          <t>POST-PROCESSING</t>
        </is>
      </c>
      <c r="B26" s="2" t="n"/>
      <c r="C26" s="2" t="n"/>
      <c r="D26" s="2" t="n"/>
      <c r="E26" s="2" t="n"/>
      <c r="F26" s="2" t="n"/>
      <c r="G26" s="2" t="n"/>
      <c r="H26" s="3" t="n"/>
    </row>
    <row r="27" ht="18" customHeight="1">
      <c r="A27" s="6" t="inlineStr">
        <is>
          <t>Job removal</t>
        </is>
      </c>
      <c r="B27" s="27" t="n">
        <v>2</v>
      </c>
      <c r="C27" t="inlineStr">
        <is>
          <t>min</t>
        </is>
      </c>
    </row>
    <row r="28" ht="18" customHeight="1">
      <c r="A28" s="6" t="inlineStr">
        <is>
          <t>Support removal</t>
        </is>
      </c>
      <c r="B28" s="27" t="n">
        <v>5</v>
      </c>
      <c r="C28" t="inlineStr">
        <is>
          <t>min</t>
        </is>
      </c>
    </row>
    <row r="29" ht="18" customHeight="1">
      <c r="A29" s="6" t="inlineStr">
        <is>
          <t>Additional work</t>
        </is>
      </c>
      <c r="B29" s="27" t="n">
        <v>0</v>
      </c>
      <c r="C29" t="inlineStr">
        <is>
          <t>min</t>
        </is>
      </c>
    </row>
    <row r="30" ht="18" customHeight="1">
      <c r="A30" s="6" t="inlineStr">
        <is>
          <t>Sum</t>
        </is>
      </c>
      <c r="B30" s="28">
        <f>SUM(B27:B29)</f>
        <v/>
      </c>
      <c r="C30" t="inlineStr">
        <is>
          <t>min</t>
        </is>
      </c>
    </row>
    <row r="31" ht="18" customHeight="1">
      <c r="A31" s="4" t="inlineStr">
        <is>
          <t>FINISHING &amp; MATERIALS</t>
        </is>
      </c>
      <c r="B31" s="2" t="n"/>
      <c r="C31" s="2" t="n"/>
      <c r="D31" s="2" t="n"/>
      <c r="E31" s="2" t="n"/>
      <c r="F31" s="2" t="n"/>
      <c r="G31" s="2" t="n"/>
      <c r="H31" s="3" t="n"/>
    </row>
    <row r="32" ht="18" customHeight="1">
      <c r="A32" s="6" t="inlineStr">
        <is>
          <t>Sanding / abrasives</t>
        </is>
      </c>
      <c r="B32" s="112" t="n">
        <v>0</v>
      </c>
    </row>
    <row r="33" ht="18" customHeight="1">
      <c r="A33" s="6" t="inlineStr">
        <is>
          <t>Primer / paint</t>
        </is>
      </c>
      <c r="B33" s="112" t="n">
        <v>0</v>
      </c>
    </row>
    <row r="34" ht="18" customHeight="1">
      <c r="A34" s="6" t="inlineStr">
        <is>
          <t>Hardware inserts</t>
        </is>
      </c>
      <c r="B34" s="112" t="n">
        <v>0</v>
      </c>
    </row>
    <row r="35" ht="18" customHeight="1">
      <c r="A35" s="6" t="inlineStr">
        <is>
          <t>Other finishing</t>
        </is>
      </c>
      <c r="B35" s="112" t="n">
        <v>0</v>
      </c>
    </row>
    <row r="36" ht="18" customHeight="1">
      <c r="A36" s="6" t="inlineStr">
        <is>
          <t>Finishing total</t>
        </is>
      </c>
      <c r="B36" s="113">
        <f>SUM(B32:B35)</f>
        <v/>
      </c>
    </row>
    <row r="37" ht="18" customHeight="1">
      <c r="A37" s="4" t="inlineStr">
        <is>
          <t>SHIPPING &amp; PACKAGING</t>
        </is>
      </c>
      <c r="B37" s="2" t="n"/>
      <c r="C37" s="2" t="n"/>
      <c r="D37" s="2" t="n"/>
      <c r="E37" s="2" t="n"/>
      <c r="F37" s="2" t="n"/>
      <c r="G37" s="2" t="n"/>
      <c r="H37" s="3" t="n"/>
    </row>
    <row r="38" ht="18" customHeight="1">
      <c r="A38" s="6" t="inlineStr">
        <is>
          <t>Packaging materials</t>
        </is>
      </c>
      <c r="B38" s="112" t="n">
        <v>0</v>
      </c>
    </row>
    <row r="39" ht="18" customHeight="1">
      <c r="A39" s="6" t="inlineStr">
        <is>
          <t>Shipping cost</t>
        </is>
      </c>
      <c r="B39" s="112" t="n">
        <v>0</v>
      </c>
    </row>
    <row r="40" ht="18" customHeight="1">
      <c r="A40" s="6" t="inlineStr">
        <is>
          <t>Shipping total</t>
        </is>
      </c>
      <c r="B40" s="113">
        <f>SUM(B38:B39)</f>
        <v/>
      </c>
    </row>
    <row r="41" ht="18" customHeight="1">
      <c r="A41" s="4" t="inlineStr">
        <is>
          <t>MISCELLANEOUS</t>
        </is>
      </c>
      <c r="B41" s="2" t="n"/>
      <c r="C41" s="2" t="n"/>
      <c r="D41" s="2" t="n"/>
      <c r="E41" s="2" t="n"/>
      <c r="F41" s="2" t="n"/>
      <c r="G41" s="2" t="n"/>
      <c r="H41" s="3" t="n"/>
    </row>
    <row r="42" ht="18" customHeight="1">
      <c r="A42" s="6" t="inlineStr">
        <is>
          <t>Consumables (plate, glue)</t>
        </is>
      </c>
      <c r="B42" s="112" t="n">
        <v>0</v>
      </c>
    </row>
    <row r="43" ht="18" customHeight="1">
      <c r="A43" s="4" t="inlineStr">
        <is>
          <t>COST BREAKDOWN</t>
        </is>
      </c>
      <c r="B43" s="2" t="n"/>
      <c r="C43" s="2" t="n"/>
      <c r="D43" s="2" t="n"/>
      <c r="E43" s="2" t="n"/>
      <c r="F43" s="2" t="n"/>
      <c r="G43" s="2" t="n"/>
      <c r="H43" s="3" t="n"/>
    </row>
    <row r="44" ht="18" customHeight="1">
      <c r="A44" s="6" t="inlineStr">
        <is>
          <t>Filament (primary)</t>
        </is>
      </c>
      <c r="B44" s="111">
        <f>IFERROR(B14/1000*VLOOKUP(B13,Materials!A2:J100,4,FALSE),0)</f>
        <v/>
      </c>
    </row>
    <row r="45" ht="18" customHeight="1">
      <c r="A45" s="6" t="inlineStr">
        <is>
          <t>Filament (support)</t>
        </is>
      </c>
      <c r="B45" s="111">
        <f>IFERROR(IF(B20="",0,D21),0)</f>
        <v/>
      </c>
    </row>
    <row r="46" ht="18" customHeight="1">
      <c r="A46" s="6" t="inlineStr">
        <is>
          <t>Electricity</t>
        </is>
      </c>
      <c r="B46" s="111">
        <f>IFERROR(D15*VLOOKUP(B12,Printers!A2:G100,6,FALSE)*General!B2,0)</f>
        <v/>
      </c>
    </row>
    <row r="47" ht="18" customHeight="1">
      <c r="A47" s="6" t="inlineStr">
        <is>
          <t>Printer depreciation</t>
        </is>
      </c>
      <c r="B47" s="111">
        <f>IFERROR(D15*VLOOKUP(B12,Printers!A2:G100,7,FALSE),0)</f>
        <v/>
      </c>
    </row>
    <row r="48" ht="18" customHeight="1">
      <c r="A48" s="6" t="inlineStr">
        <is>
          <t>Preparation labor</t>
        </is>
      </c>
      <c r="B48" s="111">
        <f>IFERROR(B25/60*General!B4,0)</f>
        <v/>
      </c>
    </row>
    <row r="49" ht="18" customHeight="1">
      <c r="A49" s="6" t="inlineStr">
        <is>
          <t>Post-process labor</t>
        </is>
      </c>
      <c r="B49" s="111">
        <f>IFERROR(B30/60*General!B3,0)</f>
        <v/>
      </c>
    </row>
    <row r="50" ht="18" customHeight="1">
      <c r="A50" s="6" t="inlineStr">
        <is>
          <t>Finishing materials</t>
        </is>
      </c>
      <c r="B50" s="111">
        <f>B36</f>
        <v/>
      </c>
    </row>
    <row r="51" ht="18" customHeight="1">
      <c r="A51" s="6" t="inlineStr">
        <is>
          <t>Shipping &amp; packaging</t>
        </is>
      </c>
      <c r="B51" s="111">
        <f>B40</f>
        <v/>
      </c>
    </row>
    <row r="52" ht="18" customHeight="1">
      <c r="A52" s="6" t="inlineStr">
        <is>
          <t>Consumables</t>
        </is>
      </c>
      <c r="B52" s="111">
        <f>B42</f>
        <v/>
      </c>
    </row>
    <row r="53" ht="18" customHeight="1">
      <c r="A53" s="6" t="inlineStr">
        <is>
          <t>Subtotal</t>
        </is>
      </c>
      <c r="B53" s="113">
        <f>SUM(B44:B52)</f>
        <v/>
      </c>
    </row>
    <row r="54" ht="18" customHeight="1">
      <c r="A54" s="6" t="inlineStr">
        <is>
          <t>Min job fee</t>
        </is>
      </c>
      <c r="B54" s="111">
        <f>General!B8</f>
        <v/>
      </c>
    </row>
    <row r="55" ht="18" customHeight="1">
      <c r="A55" s="6" t="inlineStr">
        <is>
          <t>Machine / operating cost/pc</t>
        </is>
      </c>
      <c r="B55" s="111">
        <f>IFERROR(SUM(B44:B47,B52)*(1+B18),0)</f>
        <v/>
      </c>
    </row>
    <row r="56" ht="18" customHeight="1">
      <c r="A56" s="6" t="inlineStr">
        <is>
          <t>Labor cost/pc</t>
        </is>
      </c>
      <c r="B56" s="111">
        <f>IFERROR(((B48*(1+B18/4))+(B49*(1+B18)*B61))/B61,0)</f>
        <v/>
      </c>
    </row>
    <row r="57" ht="18" customHeight="1">
      <c r="A57" s="6" t="inlineStr">
        <is>
          <t>Cost to produce (per piece)</t>
        </is>
      </c>
      <c r="B57" s="113">
        <f>B55+B56+IFERROR((B50+B51)/B61,0)</f>
        <v/>
      </c>
      <c r="E57" s="5" t="inlineStr">
        <is>
          <t>PRICING SCHEDULE</t>
        </is>
      </c>
      <c r="F57" s="2" t="n"/>
      <c r="G57" s="2" t="n"/>
      <c r="H57" s="3" t="n"/>
    </row>
    <row r="58" ht="18" customHeight="1">
      <c r="A58" s="4" t="inlineStr">
        <is>
          <t>QUOTE</t>
        </is>
      </c>
      <c r="B58" s="2" t="n"/>
      <c r="C58" s="2" t="n"/>
      <c r="D58" s="3" t="n"/>
      <c r="E58" s="31" t="inlineStr">
        <is>
          <t>Qty</t>
        </is>
      </c>
      <c r="F58" s="31" t="inlineStr">
        <is>
          <t>Price/pc</t>
        </is>
      </c>
      <c r="G58" s="31" t="inlineStr">
        <is>
          <t>Total</t>
        </is>
      </c>
      <c r="H58" s="31" t="inlineStr">
        <is>
          <t>Margin %</t>
        </is>
      </c>
    </row>
    <row r="59" ht="18" customHeight="1">
      <c r="A59" s="6" t="inlineStr">
        <is>
          <t>Markup (auto from qty table)</t>
        </is>
      </c>
      <c r="B59" s="32">
        <f>MAX(LOOKUP(B61,'Quantity Discounts'!A2:A7,'Quantity Discounts'!B2:B7),General!B6)</f>
        <v/>
      </c>
      <c r="E59" s="33" t="n">
        <v>1</v>
      </c>
      <c r="F59" s="111">
        <f>MAX((MAX(LOOKUP(E59,'Quantity Discounts'!A2:A7,'Quantity Discounts'!B2:B7),General!B6)*B7)*(B55+(((B48*(1+B18/4))+(B49*(1+B18)*E59))/E59)+((B50+B51)/E59)),General!B8/E59)</f>
        <v/>
      </c>
      <c r="G59" s="114">
        <f>E59*F59</f>
        <v/>
      </c>
      <c r="H59" s="115">
        <f>IF(F59&gt;0,(F59-(B55+(((B48*(1+B18/4))+(B49*(1+B18)*E59))/E59)+(B50+B51)/E59))/F59,0)</f>
        <v/>
      </c>
    </row>
    <row r="60" ht="18" customHeight="1">
      <c r="A60" s="6" t="inlineStr">
        <is>
          <t>Rush-adjusted markup</t>
        </is>
      </c>
      <c r="B60" s="32">
        <f>B59*B7</f>
        <v/>
      </c>
      <c r="E60" s="33" t="n">
        <v>50</v>
      </c>
      <c r="F60" s="111">
        <f>MAX((MAX(LOOKUP(E60,'Quantity Discounts'!A2:A7,'Quantity Discounts'!B2:B7),General!B6)*B7)*(B55+(((B48*(1+B18/4))+(B49*(1+B18)*E60))/E60)+((B50+B51)/E60)),General!B8/E60)</f>
        <v/>
      </c>
      <c r="G60" s="114">
        <f>E60*F60</f>
        <v/>
      </c>
      <c r="H60" s="115">
        <f>IF(F60&gt;0,(F60-(B55+(((B48*(1+B18/4))+(B49*(1+B18)*E60))/E60)+(B50+B51)/E60))/F60,0)</f>
        <v/>
      </c>
    </row>
    <row r="61" ht="18" customHeight="1">
      <c r="A61" s="6" t="inlineStr">
        <is>
          <t>Quantity</t>
        </is>
      </c>
      <c r="B61" s="27" t="n">
        <v>8</v>
      </c>
      <c r="E61" s="33" t="n">
        <v>100</v>
      </c>
      <c r="F61" s="111">
        <f>MAX((MAX(LOOKUP(E61,'Quantity Discounts'!A2:A7,'Quantity Discounts'!B2:B7),General!B6)*B7)*(B55+(((B48*(1+B18/4))+(B49*(1+B18)*E61))/E61)+((B50+B51)/E61)),General!B8/E61)</f>
        <v/>
      </c>
      <c r="G61" s="114">
        <f>E61*F61</f>
        <v/>
      </c>
      <c r="H61" s="115">
        <f>IF(F61&gt;0,(F61-(B55+(((B48*(1+B18/4))+(B49*(1+B18)*E61))/E61)+(B50+B51)/E61))/F61,0)</f>
        <v/>
      </c>
    </row>
    <row r="62" ht="18" customHeight="1">
      <c r="A62" s="6" t="inlineStr">
        <is>
          <t>Price per unit</t>
        </is>
      </c>
      <c r="B62" s="111">
        <f>B63/B61</f>
        <v/>
      </c>
      <c r="E62" s="33" t="n">
        <v>500</v>
      </c>
      <c r="F62" s="111">
        <f>MAX((MAX(LOOKUP(E62,'Quantity Discounts'!A2:A7,'Quantity Discounts'!B2:B7),General!B6)*B7)*(B55+(((B48*(1+B18/4))+(B49*(1+B18)*E62))/E62)+((B50+B51)/E62)),General!B8/E62)</f>
        <v/>
      </c>
      <c r="G62" s="114">
        <f>E62*F62</f>
        <v/>
      </c>
      <c r="H62" s="115">
        <f>IF(F62&gt;0,(F62-(B55+(((B48*(1+B18/4))+(B49*(1+B18)*E62))/E62)+(B50+B51)/E62))/F62,0)</f>
        <v/>
      </c>
    </row>
    <row r="63" ht="18" customHeight="1">
      <c r="A63" s="6" t="inlineStr">
        <is>
          <t>Suggested price (total)</t>
        </is>
      </c>
      <c r="B63" s="111">
        <f>MAX(B57*B61*B60,General!B8)</f>
        <v/>
      </c>
      <c r="E63" s="33" t="n">
        <v>1000</v>
      </c>
      <c r="F63" s="111">
        <f>MAX((MAX(LOOKUP(E63,'Quantity Discounts'!A2:A7,'Quantity Discounts'!B2:B7),General!B6)*B7)*(B55+(((B48*(1+B18/4))+(B49*(1+B18)*E63))/E63)+((B50+B51)/E63)),General!B8/E63)</f>
        <v/>
      </c>
      <c r="G63" s="114">
        <f>E63*F63</f>
        <v/>
      </c>
      <c r="H63" s="115">
        <f>IF(F63&gt;0,(F63-(B55+(((B48*(1+B18/4))+(B49*(1+B18)*E63))/E63)+(B50+B51)/E63))/F63,0)</f>
        <v/>
      </c>
    </row>
    <row r="64" ht="18" customHeight="1">
      <c r="A64" s="6" t="inlineStr">
        <is>
          <t>Quoted price (total)</t>
        </is>
      </c>
      <c r="B64" s="116" t="n"/>
      <c r="E64" s="33" t="n">
        <v>5000</v>
      </c>
      <c r="F64" s="111">
        <f>MAX((MAX(LOOKUP(E64,'Quantity Discounts'!A2:A7,'Quantity Discounts'!B2:B7),General!B6)*B7)*(B55+(((B48*(1+B18/4))+(B49*(1+B18)*E64))/E64)+((B50+B51)/E64)),General!B8/E64)</f>
        <v/>
      </c>
      <c r="G64" s="114">
        <f>E64*F64</f>
        <v/>
      </c>
      <c r="H64" s="115">
        <f>IF(F64&gt;0,(F64-(B55+(((B48*(1+B18/4))+(B49*(1+B18)*E64))/E64)+(B50+B51)/E64))/F64,0)</f>
        <v/>
      </c>
    </row>
    <row r="65" ht="18" customHeight="1">
      <c r="A65" s="6" t="inlineStr">
        <is>
          <t>Cost to produce (total)</t>
        </is>
      </c>
      <c r="B65" s="111">
        <f>B57*B61</f>
        <v/>
      </c>
    </row>
    <row r="66" ht="18" customHeight="1">
      <c r="A66" s="37">
        <f>IF(AND(B64&gt;0,B64&lt;B65),"WARNING: Quoted below cost","")</f>
        <v/>
      </c>
    </row>
    <row r="67" ht="18" customHeight="1">
      <c r="A67" s="6" t="inlineStr">
        <is>
          <t>Profit per piece (suggested)</t>
        </is>
      </c>
      <c r="B67" s="117">
        <f>MAX(B62-B57,0)</f>
        <v/>
      </c>
    </row>
    <row r="68" ht="18" customHeight="1">
      <c r="A68" s="6" t="inlineStr">
        <is>
          <t>Profit margin (suggested)</t>
        </is>
      </c>
      <c r="B68" s="118">
        <f>IF(B62&gt;0,MAX((B62-B57)/B62,0),0)</f>
        <v/>
      </c>
    </row>
    <row r="69" ht="18" customHeight="1">
      <c r="A69" s="6" t="inlineStr">
        <is>
          <t>Total profit</t>
        </is>
      </c>
      <c r="B69" s="117">
        <f>IF(B64&gt;0,MAX(B64-B65,0),MAX(B63-B65,0))</f>
        <v/>
      </c>
    </row>
    <row r="70" ht="18" customHeight="1"/>
    <row r="71" ht="16" customHeight="1">
      <c r="A71" s="17" t="inlineStr">
        <is>
          <t>Blue = User Input  |  Grey = Calculated  |  Navy = Totals  |  Green = Profit  |  Orange = Key Price</t>
        </is>
      </c>
    </row>
    <row r="72" ht="18" customHeight="1"/>
    <row r="73" ht="18" customHeight="1"/>
    <row r="74" ht="18" customHeight="1"/>
    <row r="75" ht="18" customHeight="1">
      <c r="A75" t="inlineStr">
        <is>
          <t>PLA+</t>
        </is>
      </c>
      <c r="B75" s="119">
        <f>IFERROR(MAX((MAX(LOOKUP(B61,'Quantity Discounts'!A2:A7,'Quantity Discounts'!B2:B7),General!B6)*B7)*(((B14/1000*(Materials!D2/Materials!E2))+IFERROR(B45,0)+IFERROR(B46,0)+IFERROR(B47,0)+IFERROR(B52,0))*(1+(MIN(General!B5+(((B16+Materials!B2)/2)*General!B5),General!B9)))+((B48*(1+((MIN(General!B5+(((B16+Materials!B2)/2)*General!B5),General!B9))/4))+(B49*(1+(MIN(General!B5+(((B16+Materials!B2)/2)*General!B5),General!B9)))*B61))/B61)+IFERROR(B50,0)/B61+IFERROR(B51,0)/B61),General!B8/B61),0)</f>
        <v/>
      </c>
      <c r="C75" s="119">
        <f>IFERROR(MAX((MAX(LOOKUP(B61,'Quantity Discounts'!A2:A7,'Quantity Discounts'!B2:B7),General!B6)*B7)*(((B14/1000*(Materials!D2/Materials!E2))+IFERROR(B45,0)+IFERROR(B46,0)+IFERROR(B47,0)+IFERROR(B52,0))*(1+(MIN(General!B5+(((B16+Materials!B2)/2)*General!B5),General!B9)))+((B48*(1+((MIN(General!B5+(((B16+Materials!B2)/2)*General!B5),General!B9))/4))+(B49*(1+(MIN(General!B5+(((B16+Materials!B2)/2)*General!B5),General!B9)))*B61))/B61)+IFERROR(B50,0)/B61+IFERROR(B51,0)/B61)*B61,General!B8),0)</f>
        <v/>
      </c>
    </row>
    <row r="76" ht="18" customHeight="1">
      <c r="A76" t="inlineStr">
        <is>
          <t>PETG</t>
        </is>
      </c>
      <c r="B76" s="119">
        <f>IFERROR(MAX((MAX(LOOKUP(B61,'Quantity Discounts'!A2:A7,'Quantity Discounts'!B2:B7),General!B6)*B7)*(((B14/1000*(Materials!D3/Materials!E3))+IFERROR(B45,0)+IFERROR(B46,0)+IFERROR(B47,0)+IFERROR(B52,0))*(1+(MIN(General!B5+(((B16+Materials!B3)/2)*General!B5),General!B9)))+((B48*(1+((MIN(General!B5+(((B16+Materials!B3)/2)*General!B5),General!B9))/4))+(B49*(1+(MIN(General!B5+(((B16+Materials!B3)/2)*General!B5),General!B9)))*B61))/B61)+IFERROR(B50,0)/B61+IFERROR(B51,0)/B61),General!B8/B61),0)</f>
        <v/>
      </c>
      <c r="C76" s="119">
        <f>IFERROR(MAX((MAX(LOOKUP(B61,'Quantity Discounts'!A2:A7,'Quantity Discounts'!B2:B7),General!B6)*B7)*(((B14/1000*(Materials!D3/Materials!E3))+IFERROR(B45,0)+IFERROR(B46,0)+IFERROR(B47,0)+IFERROR(B52,0))*(1+(MIN(General!B5+(((B16+Materials!B3)/2)*General!B5),General!B9)))+((B48*(1+((MIN(General!B5+(((B16+Materials!B3)/2)*General!B5),General!B9))/4))+(B49*(1+(MIN(General!B5+(((B16+Materials!B3)/2)*General!B5),General!B9)))*B61))/B61)+IFERROR(B50,0)/B61+IFERROR(B51,0)/B61)*B61,General!B8),0)</f>
        <v/>
      </c>
    </row>
    <row r="77" ht="18" customHeight="1">
      <c r="A77" t="inlineStr">
        <is>
          <t>PETG-CF</t>
        </is>
      </c>
      <c r="B77" s="119">
        <f>IFERROR(MAX((MAX(LOOKUP(B61,'Quantity Discounts'!A2:A7,'Quantity Discounts'!B2:B7),General!B6)*B7)*(((B14/1000*(Materials!D5/Materials!E5))+IFERROR(B45,0)+IFERROR(B46,0)+IFERROR(B47,0)+IFERROR(B52,0))*(1+(MIN(General!B5+(((B16+Materials!B5)/2)*General!B5),General!B9)))+((B48*(1+((MIN(General!B5+(((B16+Materials!B5)/2)*General!B5),General!B9))/4))+(B49*(1+(MIN(General!B5+(((B16+Materials!B5)/2)*General!B5),General!B9)))*B61))/B61)+IFERROR(B50,0)/B61+IFERROR(B51,0)/B61),General!B8/B61),0)</f>
        <v/>
      </c>
      <c r="C77" s="119">
        <f>IFERROR(MAX((MAX(LOOKUP(B61,'Quantity Discounts'!A2:A7,'Quantity Discounts'!B2:B7),General!B6)*B7)*(((B14/1000*(Materials!D5/Materials!E5))+IFERROR(B45,0)+IFERROR(B46,0)+IFERROR(B47,0)+IFERROR(B52,0))*(1+(MIN(General!B5+(((B16+Materials!B5)/2)*General!B5),General!B9)))+((B48*(1+((MIN(General!B5+(((B16+Materials!B5)/2)*General!B5),General!B9))/4))+(B49*(1+(MIN(General!B5+(((B16+Materials!B5)/2)*General!B5),General!B9)))*B61))/B61)+IFERROR(B50,0)/B61+IFERROR(B51,0)/B61)*B61,General!B8),0)</f>
        <v/>
      </c>
    </row>
    <row r="78" ht="18" customHeight="1">
      <c r="A78" t="inlineStr">
        <is>
          <t>ABS</t>
        </is>
      </c>
      <c r="B78" s="119">
        <f>IFERROR(MAX((MAX(LOOKUP(B61,'Quantity Discounts'!A2:A7,'Quantity Discounts'!B2:B7),General!B6)*B7)*(((B14/1000*(Materials!D6/Materials!E6))+IFERROR(B45,0)+IFERROR(B46,0)+IFERROR(B47,0)+IFERROR(B52,0))*(1+(MIN(General!B5+(((B16+Materials!B6)/2)*General!B5),General!B9)))+((B48*(1+((MIN(General!B5+(((B16+Materials!B6)/2)*General!B5),General!B9))/4))+(B49*(1+(MIN(General!B5+(((B16+Materials!B6)/2)*General!B5),General!B9)))*B61))/B61)+IFERROR(B50,0)/B61+IFERROR(B51,0)/B61),General!B8/B61),0)</f>
        <v/>
      </c>
      <c r="C78" s="119">
        <f>IFERROR(MAX((MAX(LOOKUP(B61,'Quantity Discounts'!A2:A7,'Quantity Discounts'!B2:B7),General!B6)*B7)*(((B14/1000*(Materials!D6/Materials!E6))+IFERROR(B45,0)+IFERROR(B46,0)+IFERROR(B47,0)+IFERROR(B52,0))*(1+(MIN(General!B5+(((B16+Materials!B6)/2)*General!B5),General!B9)))+((B48*(1+((MIN(General!B5+(((B16+Materials!B6)/2)*General!B5),General!B9))/4))+(B49*(1+(MIN(General!B5+(((B16+Materials!B6)/2)*General!B5),General!B9)))*B61))/B61)+IFERROR(B50,0)/B61+IFERROR(B51,0)/B61)*B61,General!B8),0)</f>
        <v/>
      </c>
    </row>
    <row r="79" ht="18" customHeight="1"/>
  </sheetData>
  <mergeCells count="31">
    <mergeCell ref="G2:H2"/>
    <mergeCell ref="B3:C3"/>
    <mergeCell ref="E57:H57"/>
    <mergeCell ref="C7:F7"/>
    <mergeCell ref="A11:H11"/>
    <mergeCell ref="A1:H1"/>
    <mergeCell ref="B18:C18"/>
    <mergeCell ref="B12:C12"/>
    <mergeCell ref="A2:F2"/>
    <mergeCell ref="A58:D58"/>
    <mergeCell ref="A41:H41"/>
    <mergeCell ref="D9:F9"/>
    <mergeCell ref="A66:B66"/>
    <mergeCell ref="B17:C17"/>
    <mergeCell ref="A37:H37"/>
    <mergeCell ref="B8:C8"/>
    <mergeCell ref="B6:D6"/>
    <mergeCell ref="B13:C13"/>
    <mergeCell ref="A26:H26"/>
    <mergeCell ref="D16:H16"/>
    <mergeCell ref="A71:H71"/>
    <mergeCell ref="B9:C9"/>
    <mergeCell ref="A22:H22"/>
    <mergeCell ref="D8:H8"/>
    <mergeCell ref="A43:H43"/>
    <mergeCell ref="B5:C5"/>
    <mergeCell ref="B20:C20"/>
    <mergeCell ref="A19:H19"/>
    <mergeCell ref="B10:H10"/>
    <mergeCell ref="A31:H31"/>
    <mergeCell ref="B4:C4"/>
  </mergeCells>
  <dataValidations count="5">
    <dataValidation sqref="B8" showDropDown="0" showInputMessage="0" showErrorMessage="0" allowBlank="1" type="list">
      <formula1>"Quoting,Accepted,In Progress,Complete,Declined"</formula1>
    </dataValidation>
    <dataValidation sqref="B13 B20" showDropDown="0" showInputMessage="0" showErrorMessage="1" allowBlank="1" errorTitle="Invalid Material" error="Please select a material from the Materials sheet or add it there first." type="list">
      <formula1>Materials!$A$2:$A$100</formula1>
    </dataValidation>
    <dataValidation sqref="B12" showDropDown="0" showInputMessage="0" showErrorMessage="1" allowBlank="1" errorTitle="Invalid Printer" error="Please select a printer from the Printers sheet or add it there first." type="list">
      <formula1>Printers!$A$2:$A$100</formula1>
    </dataValidation>
    <dataValidation sqref="B16" showDropDown="0" showInputMessage="0" showErrorMessage="1" allowBlank="0" errorTitle="Invalid Complexity" error="Please select a value between 1 and 10." type="list">
      <formula1>"1,2,3,4,5,6,7,8,9,10"</formula1>
    </dataValidation>
    <dataValidation sqref="B7" showDropDown="0" showInputMessage="0" showErrorMessage="1" allowBlank="0" errorTitle="Invalid Rush Multiplier" error="Please select a standard rush multiplier." type="list">
      <formula1>"1.0,1.25,1.5,1.75,2.0"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7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20" customWidth="1" min="3" max="3"/>
  </cols>
  <sheetData>
    <row r="1">
      <c r="A1" s="41" t="inlineStr">
        <is>
          <t>Quantity</t>
        </is>
      </c>
      <c r="B1" s="41" t="inlineStr">
        <is>
          <t>Markup</t>
        </is>
      </c>
      <c r="C1" s="41" t="inlineStr">
        <is>
          <t>Markup Over Cost</t>
        </is>
      </c>
    </row>
    <row r="2">
      <c r="A2" s="42" t="n">
        <v>0</v>
      </c>
      <c r="B2" s="43" t="n">
        <v>2.4</v>
      </c>
      <c r="C2" s="44">
        <f>B2-1</f>
        <v/>
      </c>
    </row>
    <row r="3">
      <c r="A3" s="42" t="n">
        <v>50</v>
      </c>
      <c r="B3" s="43" t="n">
        <v>2</v>
      </c>
      <c r="C3" s="44">
        <f>B3-1</f>
        <v/>
      </c>
    </row>
    <row r="4">
      <c r="A4" s="42" t="n">
        <v>100</v>
      </c>
      <c r="B4" s="43" t="n">
        <v>1.8</v>
      </c>
      <c r="C4" s="44">
        <f>B4-1</f>
        <v/>
      </c>
    </row>
    <row r="5">
      <c r="A5" s="42" t="n">
        <v>500</v>
      </c>
      <c r="B5" s="43" t="n">
        <v>1.6</v>
      </c>
      <c r="C5" s="44">
        <f>B5-1</f>
        <v/>
      </c>
    </row>
    <row r="6">
      <c r="A6" s="42" t="n">
        <v>1000</v>
      </c>
      <c r="B6" s="43" t="n">
        <v>1.4</v>
      </c>
      <c r="C6" s="44">
        <f>B6-1</f>
        <v/>
      </c>
    </row>
    <row r="7">
      <c r="A7" s="42" t="n">
        <v>5000</v>
      </c>
      <c r="B7" s="43" t="n">
        <v>1.3</v>
      </c>
      <c r="C7" s="44">
        <f>B7-1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7"/>
  <sheetViews>
    <sheetView workbookViewId="0">
      <selection activeCell="A1" sqref="A1"/>
    </sheetView>
  </sheetViews>
  <sheetFormatPr baseColWidth="8" defaultRowHeight="15"/>
  <cols>
    <col width="18" customWidth="1" min="1" max="1"/>
    <col width="22" customWidth="1" min="2" max="2"/>
    <col width="22" customWidth="1" min="3" max="3"/>
    <col width="22" customWidth="1" min="4" max="4"/>
    <col width="22" customWidth="1" min="5" max="5"/>
    <col width="22" customWidth="1" min="6" max="6"/>
    <col width="22" customWidth="1" min="7" max="7"/>
  </cols>
  <sheetData>
    <row r="1">
      <c r="A1" s="45" t="inlineStr">
        <is>
          <t>Name</t>
        </is>
      </c>
      <c r="B1" s="45" t="inlineStr">
        <is>
          <t>Diameter [mm]</t>
        </is>
      </c>
      <c r="C1" s="45" t="inlineStr">
        <is>
          <t>Price [$]</t>
        </is>
      </c>
      <c r="D1" s="45" t="inlineStr">
        <is>
          <t>Depreciation Life [h]</t>
        </is>
      </c>
      <c r="E1" s="45" t="inlineStr">
        <is>
          <t>Service Costs [$]</t>
        </is>
      </c>
      <c r="F1" s="45" t="inlineStr">
        <is>
          <t>Energy [kWh/h]</t>
        </is>
      </c>
      <c r="G1" s="45" t="inlineStr">
        <is>
          <t>Depreciation [$/h]</t>
        </is>
      </c>
    </row>
    <row r="2">
      <c r="A2" s="46" t="inlineStr">
        <is>
          <t>Tenlog TL-D3</t>
        </is>
      </c>
      <c r="B2" s="47" t="n">
        <v>1.75</v>
      </c>
      <c r="C2" s="47" t="n">
        <v>600</v>
      </c>
      <c r="D2" s="47" t="n">
        <v>4000</v>
      </c>
      <c r="E2" s="47" t="n">
        <v>250</v>
      </c>
      <c r="F2" s="47" t="n">
        <v>0.11</v>
      </c>
      <c r="G2" s="120">
        <f>(C2+E2)/D2</f>
        <v/>
      </c>
    </row>
    <row r="3">
      <c r="A3" s="46" t="inlineStr">
        <is>
          <t>Tenlog TL-D5</t>
        </is>
      </c>
      <c r="B3" s="47" t="n">
        <v>1.75</v>
      </c>
      <c r="C3" s="47" t="n">
        <v>1100</v>
      </c>
      <c r="D3" s="47" t="n">
        <v>2000</v>
      </c>
      <c r="E3" s="47" t="n">
        <v>500</v>
      </c>
      <c r="F3" s="47" t="n">
        <v>0.4</v>
      </c>
      <c r="G3" s="120">
        <f>(C3+E3)/D3</f>
        <v/>
      </c>
    </row>
    <row r="4">
      <c r="A4" s="46" t="inlineStr">
        <is>
          <t>Tenlog TL-D6</t>
        </is>
      </c>
      <c r="B4" s="47" t="n">
        <v>1.75</v>
      </c>
      <c r="C4" s="47" t="n">
        <v>1500</v>
      </c>
      <c r="D4" s="47" t="n">
        <v>3000</v>
      </c>
      <c r="E4" s="47" t="n">
        <v>500</v>
      </c>
      <c r="F4" s="47" t="n">
        <v>0.43</v>
      </c>
      <c r="G4" s="120">
        <f>(C4+E4)/D4</f>
        <v/>
      </c>
    </row>
    <row r="5">
      <c r="A5" s="46" t="inlineStr">
        <is>
          <t>Bambu X1C</t>
        </is>
      </c>
      <c r="B5" s="47" t="n">
        <v>1.75</v>
      </c>
      <c r="C5" s="47" t="n">
        <v>1200</v>
      </c>
      <c r="D5" s="47" t="n">
        <v>5000</v>
      </c>
      <c r="E5" s="47" t="n">
        <v>300</v>
      </c>
      <c r="F5" s="47" t="n">
        <v>0.15</v>
      </c>
      <c r="G5" s="120">
        <f>(C5+E5)/D5</f>
        <v/>
      </c>
    </row>
    <row r="6">
      <c r="A6" s="46" t="inlineStr">
        <is>
          <t>Voron 2.4</t>
        </is>
      </c>
      <c r="B6" s="47" t="n">
        <v>1.75</v>
      </c>
      <c r="C6" s="47" t="n">
        <v>2000</v>
      </c>
      <c r="D6" s="47" t="n">
        <v>4000</v>
      </c>
      <c r="E6" s="47" t="n">
        <v>500</v>
      </c>
      <c r="F6" s="47" t="n">
        <v>0.2</v>
      </c>
      <c r="G6" s="120">
        <f>(C6+E6)/D6</f>
        <v/>
      </c>
    </row>
    <row r="7">
      <c r="A7" s="46" t="inlineStr">
        <is>
          <t>Ratrig</t>
        </is>
      </c>
      <c r="B7" s="47" t="n">
        <v>1.75</v>
      </c>
      <c r="C7" s="47" t="n">
        <v>2000</v>
      </c>
      <c r="D7" s="47" t="n">
        <v>4000</v>
      </c>
      <c r="E7" s="47" t="n">
        <v>500</v>
      </c>
      <c r="F7" s="47" t="n">
        <v>0.4</v>
      </c>
      <c r="G7" s="120">
        <f>(C7+E7)/D7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0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>
      <c r="A1" s="45" t="inlineStr">
        <is>
          <t>Filament Type</t>
        </is>
      </c>
      <c r="B1" s="45" t="inlineStr">
        <is>
          <t>Complexity (1-10)</t>
        </is>
      </c>
      <c r="C1" s="45" t="inlineStr">
        <is>
          <t>Diameter [mm]</t>
        </is>
      </c>
      <c r="D1" s="45" t="inlineStr">
        <is>
          <t>Spool Price [$]</t>
        </is>
      </c>
      <c r="E1" s="45" t="inlineStr">
        <is>
          <t>Spool Size [kg]</t>
        </is>
      </c>
      <c r="F1" s="45" t="inlineStr">
        <is>
          <t>Density [g/cm3]</t>
        </is>
      </c>
      <c r="G1" s="45" t="inlineStr">
        <is>
          <t>Nozzle Temp [C]</t>
        </is>
      </c>
      <c r="H1" s="45" t="inlineStr">
        <is>
          <t>Bed Temp [C]</t>
        </is>
      </c>
      <c r="I1" s="45" t="inlineStr">
        <is>
          <t>Length/roll [m]</t>
        </is>
      </c>
      <c r="J1" s="45" t="inlineStr">
        <is>
          <t>Price [$/kg]</t>
        </is>
      </c>
    </row>
    <row r="2">
      <c r="A2" s="46" t="inlineStr">
        <is>
          <t>PLA+</t>
        </is>
      </c>
      <c r="B2" s="47" t="n">
        <v>1</v>
      </c>
      <c r="C2" s="47" t="n">
        <v>1.75</v>
      </c>
      <c r="D2" s="47" t="n">
        <v>20</v>
      </c>
      <c r="E2" s="47" t="n">
        <v>1</v>
      </c>
      <c r="F2" s="47" t="n">
        <v>1.24</v>
      </c>
      <c r="G2" s="47" t="n">
        <v>220</v>
      </c>
      <c r="H2" s="47" t="n">
        <v>60</v>
      </c>
      <c r="I2" s="47">
        <f>E2/F2*4/(PI()*(C2/100)^2)/10</f>
        <v/>
      </c>
      <c r="J2" s="120">
        <f>D2/E2</f>
        <v/>
      </c>
    </row>
    <row r="3">
      <c r="A3" s="46" t="inlineStr">
        <is>
          <t>PETG</t>
        </is>
      </c>
      <c r="B3" s="47" t="n">
        <v>3</v>
      </c>
      <c r="C3" s="47" t="n">
        <v>1.75</v>
      </c>
      <c r="D3" s="47" t="n">
        <v>25</v>
      </c>
      <c r="E3" s="47" t="n">
        <v>1</v>
      </c>
      <c r="F3" s="47" t="n">
        <v>1.19</v>
      </c>
      <c r="G3" s="47" t="n">
        <v>260</v>
      </c>
      <c r="H3" s="47" t="n">
        <v>80</v>
      </c>
      <c r="I3" s="47">
        <f>E3/F3*4/(PI()*(C3/100)^2)/10</f>
        <v/>
      </c>
      <c r="J3" s="120">
        <f>D3/E3</f>
        <v/>
      </c>
    </row>
    <row r="4">
      <c r="A4" s="46" t="inlineStr">
        <is>
          <t>TPU</t>
        </is>
      </c>
      <c r="B4" s="47" t="n">
        <v>6</v>
      </c>
      <c r="C4" s="47" t="n">
        <v>1.75</v>
      </c>
      <c r="D4" s="47" t="n">
        <v>30</v>
      </c>
      <c r="E4" s="47" t="n">
        <v>1</v>
      </c>
      <c r="F4" s="47" t="n">
        <v>1.05</v>
      </c>
      <c r="G4" s="47" t="n">
        <v>260</v>
      </c>
      <c r="H4" s="47" t="n">
        <v>115</v>
      </c>
      <c r="I4" s="47">
        <f>E4/F4*4/(PI()*(C4/100)^2)/10</f>
        <v/>
      </c>
      <c r="J4" s="120">
        <f>D4/E4</f>
        <v/>
      </c>
    </row>
    <row r="5">
      <c r="A5" s="46" t="inlineStr">
        <is>
          <t>PETG-CF</t>
        </is>
      </c>
      <c r="B5" s="47" t="n">
        <v>3</v>
      </c>
      <c r="C5" s="47" t="n">
        <v>1.75</v>
      </c>
      <c r="D5" s="47" t="n">
        <v>40</v>
      </c>
      <c r="E5" s="47" t="n">
        <v>1</v>
      </c>
      <c r="F5" s="47" t="n">
        <v>1.03</v>
      </c>
      <c r="G5" s="47" t="n">
        <v>250</v>
      </c>
      <c r="H5" s="47" t="n">
        <v>100</v>
      </c>
      <c r="I5" s="47">
        <f>E5/F5*4/(PI()*(C5/100)^2)/10</f>
        <v/>
      </c>
      <c r="J5" s="120">
        <f>D5/E5</f>
        <v/>
      </c>
    </row>
    <row r="6">
      <c r="A6" s="46" t="inlineStr">
        <is>
          <t>ABS</t>
        </is>
      </c>
      <c r="B6" s="47" t="n">
        <v>5</v>
      </c>
      <c r="C6" s="47" t="n">
        <v>1.75</v>
      </c>
      <c r="D6" s="47" t="n">
        <v>25</v>
      </c>
      <c r="E6" s="47" t="n">
        <v>1</v>
      </c>
      <c r="F6" s="47" t="n">
        <v>1.27</v>
      </c>
      <c r="G6" s="47" t="n">
        <v>250</v>
      </c>
      <c r="H6" s="47" t="n">
        <v>65</v>
      </c>
      <c r="I6" s="47">
        <f>E6/F6*4/(PI()*(C6/100)^2)/10</f>
        <v/>
      </c>
      <c r="J6" s="120">
        <f>D6/E6</f>
        <v/>
      </c>
    </row>
    <row r="7">
      <c r="A7" s="46" t="inlineStr">
        <is>
          <t>ASA</t>
        </is>
      </c>
      <c r="B7" s="47" t="n">
        <v>5</v>
      </c>
      <c r="C7" s="47" t="n">
        <v>1.75</v>
      </c>
      <c r="D7" s="47" t="n">
        <v>25</v>
      </c>
      <c r="E7" s="47" t="n">
        <v>1</v>
      </c>
      <c r="F7" s="47" t="n">
        <v>1.27</v>
      </c>
      <c r="G7" s="47" t="n">
        <v>225</v>
      </c>
      <c r="H7" s="47" t="n">
        <v>65</v>
      </c>
      <c r="I7" s="47">
        <f>E7/F7*4/(PI()*(C7/100)^2)/10</f>
        <v/>
      </c>
      <c r="J7" s="120">
        <f>D7/E7</f>
        <v/>
      </c>
    </row>
    <row r="8">
      <c r="A8" s="46" t="inlineStr">
        <is>
          <t>LW PLA HT</t>
        </is>
      </c>
      <c r="B8" s="47" t="n">
        <v>7</v>
      </c>
      <c r="C8" s="47" t="n">
        <v>1.75</v>
      </c>
      <c r="D8" s="47" t="n">
        <v>46</v>
      </c>
      <c r="E8" s="47" t="n">
        <v>1</v>
      </c>
      <c r="F8" s="47" t="n">
        <v>1.24</v>
      </c>
      <c r="G8" s="47" t="n">
        <v>220</v>
      </c>
      <c r="H8" s="47" t="n">
        <v>60</v>
      </c>
      <c r="I8" s="47">
        <f>E8/F8*4/(PI()*(C8/100)^2)/10</f>
        <v/>
      </c>
      <c r="J8" s="120">
        <f>D8/E8</f>
        <v/>
      </c>
    </row>
    <row r="9">
      <c r="A9" s="46" t="inlineStr">
        <is>
          <t>LW PLA</t>
        </is>
      </c>
      <c r="B9" s="47" t="n">
        <v>2</v>
      </c>
      <c r="C9" s="47" t="n">
        <v>1.75</v>
      </c>
      <c r="D9" s="47" t="n">
        <v>35</v>
      </c>
      <c r="E9" s="47" t="n">
        <v>1</v>
      </c>
      <c r="F9" s="47" t="n">
        <v>1.24</v>
      </c>
      <c r="G9" s="47" t="n">
        <v>240</v>
      </c>
      <c r="H9" s="47" t="n">
        <v>60</v>
      </c>
      <c r="I9" s="47">
        <f>E9/F9*4/(PI()*(C9/100)^2)/10</f>
        <v/>
      </c>
      <c r="J9" s="120">
        <f>D9/E9</f>
        <v/>
      </c>
    </row>
    <row r="10">
      <c r="A10" s="46" t="inlineStr">
        <is>
          <t>PA12</t>
        </is>
      </c>
      <c r="B10" s="47" t="n">
        <v>8</v>
      </c>
      <c r="C10" s="47" t="n">
        <v>1.75</v>
      </c>
      <c r="D10" s="47" t="n">
        <v>86</v>
      </c>
      <c r="E10" s="47" t="n">
        <v>1</v>
      </c>
      <c r="F10" s="47" t="n">
        <v>1.24</v>
      </c>
      <c r="G10" s="47" t="n">
        <v>280</v>
      </c>
      <c r="H10" s="47" t="n">
        <v>100</v>
      </c>
      <c r="I10" s="47">
        <f>E10/F10*4/(PI()*(C10/100)^2)/10</f>
        <v/>
      </c>
      <c r="J10" s="120">
        <f>D10/E10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8" customWidth="1" min="1" max="1"/>
    <col width="16" customWidth="1" min="2" max="2"/>
    <col width="32" customWidth="1" min="3" max="3"/>
  </cols>
  <sheetData>
    <row r="1">
      <c r="A1" s="49" t="inlineStr">
        <is>
          <t>GLOBAL SETTINGS</t>
        </is>
      </c>
      <c r="B1" s="2" t="n"/>
      <c r="C1" s="3" t="n"/>
    </row>
    <row r="2">
      <c r="A2" s="50" t="inlineStr">
        <is>
          <t>Energy cost</t>
        </is>
      </c>
      <c r="B2" s="121" t="n">
        <v>0.26</v>
      </c>
    </row>
    <row r="3">
      <c r="A3" s="50" t="inlineStr">
        <is>
          <t>Post-process labor</t>
        </is>
      </c>
      <c r="B3" s="122" t="n">
        <v>22</v>
      </c>
    </row>
    <row r="4">
      <c r="A4" s="50" t="inlineStr">
        <is>
          <t>Skilled labor</t>
        </is>
      </c>
      <c r="B4" s="122" t="n">
        <v>22</v>
      </c>
    </row>
    <row r="5">
      <c r="A5" s="50" t="inlineStr">
        <is>
          <t>Base failure rate</t>
        </is>
      </c>
      <c r="B5" s="123" t="n">
        <v>0.1</v>
      </c>
    </row>
    <row r="6">
      <c r="A6" s="50" t="inlineStr">
        <is>
          <t>Min markup (floor)</t>
        </is>
      </c>
      <c r="B6" s="54" t="n">
        <v>1.2</v>
      </c>
    </row>
    <row r="7">
      <c r="A7" s="50" t="inlineStr">
        <is>
          <t>Rush multiplier</t>
        </is>
      </c>
      <c r="B7" s="107" t="n">
        <v>1</v>
      </c>
    </row>
    <row r="8">
      <c r="A8" s="50" t="inlineStr">
        <is>
          <t>Min job fee</t>
        </is>
      </c>
      <c r="B8" s="112" t="n">
        <v>5</v>
      </c>
    </row>
    <row r="9">
      <c r="A9" s="50" t="inlineStr">
        <is>
          <t>Max failure rate cap</t>
        </is>
      </c>
      <c r="B9" s="54" t="n">
        <v>0.5</v>
      </c>
    </row>
    <row r="10">
      <c r="A10" s="50" t="inlineStr">
        <is>
          <t>Money unit</t>
        </is>
      </c>
      <c r="B10" s="10" t="inlineStr">
        <is>
          <t>$</t>
        </is>
      </c>
    </row>
    <row r="11">
      <c r="A11" s="17" t="inlineStr">
        <is>
          <t>Adjust these to match your shop rates</t>
        </is>
      </c>
    </row>
    <row r="12">
      <c r="A12" s="50" t="inlineStr">
        <is>
          <t>Next Serial #</t>
        </is>
      </c>
      <c r="B12" s="124" t="n">
        <v>1</v>
      </c>
      <c r="C12" s="17" t="inlineStr">
        <is>
          <t>Increment after each logged quote</t>
        </is>
      </c>
    </row>
  </sheetData>
  <mergeCells count="2">
    <mergeCell ref="A1:C1"/>
    <mergeCell ref="A11:C1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37"/>
  <sheetViews>
    <sheetView workbookViewId="0">
      <selection activeCell="A1" sqref="A1"/>
    </sheetView>
  </sheetViews>
  <sheetFormatPr baseColWidth="8" defaultRowHeight="15"/>
  <cols>
    <col width="22" customWidth="1" min="1" max="1"/>
    <col width="20" customWidth="1" min="2" max="2"/>
    <col width="15" customWidth="1" min="3" max="3"/>
    <col width="15" customWidth="1" min="4" max="4"/>
    <col width="15" customWidth="1" min="5" max="5"/>
  </cols>
  <sheetData>
    <row r="1" ht="50" customHeight="1">
      <c r="A1" s="56" t="inlineStr">
        <is>
          <t>QUOTE</t>
        </is>
      </c>
    </row>
    <row r="2" ht="24" customHeight="1">
      <c r="A2" s="57" t="inlineStr">
        <is>
          <t>LNL3D</t>
        </is>
      </c>
    </row>
    <row r="3" ht="6" customHeight="1"/>
    <row r="4" ht="18" customHeight="1">
      <c r="A4" s="58" t="inlineStr">
        <is>
          <t>Quote Details</t>
        </is>
      </c>
    </row>
    <row r="5" ht="18" customHeight="1">
      <c r="A5" s="59" t="inlineStr">
        <is>
          <t>Quote ID</t>
        </is>
      </c>
      <c r="B5" s="60">
        <f>Quote!B3</f>
        <v/>
      </c>
    </row>
    <row r="6" ht="18" customHeight="1">
      <c r="A6" s="59" t="inlineStr">
        <is>
          <t>Date</t>
        </is>
      </c>
      <c r="B6" s="125">
        <f>Quote!B5</f>
        <v/>
      </c>
    </row>
    <row r="7" ht="18" customHeight="1">
      <c r="A7" s="59" t="inlineStr">
        <is>
          <t>Valid Until</t>
        </is>
      </c>
      <c r="B7" s="125">
        <f>Quote!B9</f>
        <v/>
      </c>
    </row>
    <row r="8" ht="18" customHeight="1">
      <c r="A8" s="59" t="inlineStr">
        <is>
          <t>Status</t>
        </is>
      </c>
      <c r="B8" s="60">
        <f>Quote!B8</f>
        <v/>
      </c>
    </row>
    <row r="9" ht="18" customHeight="1">
      <c r="A9" s="59" t="inlineStr">
        <is>
          <t>Prepared For</t>
        </is>
      </c>
      <c r="B9" s="60">
        <f>Quote!B4</f>
        <v/>
      </c>
    </row>
    <row r="10" ht="18" customHeight="1">
      <c r="A10" s="59" t="inlineStr">
        <is>
          <t>Description</t>
        </is>
      </c>
      <c r="B10" s="60">
        <f>Quote!B6</f>
        <v/>
      </c>
    </row>
    <row r="11" ht="60" customHeight="1">
      <c r="A11" s="59" t="inlineStr">
        <is>
          <t>Notes</t>
        </is>
      </c>
      <c r="B11" s="62">
        <f>Quote!B10</f>
        <v/>
      </c>
      <c r="C11" s="2" t="n"/>
      <c r="D11" s="2" t="n"/>
      <c r="E11" s="3" t="n"/>
    </row>
    <row r="12" ht="8" customHeight="1"/>
    <row r="13" ht="18" customHeight="1">
      <c r="A13" s="58" t="inlineStr">
        <is>
          <t>Job Details</t>
        </is>
      </c>
    </row>
    <row r="14" ht="18" customHeight="1">
      <c r="A14" s="59" t="inlineStr">
        <is>
          <t>Material</t>
        </is>
      </c>
      <c r="B14" s="60">
        <f>Quote!B13</f>
        <v/>
      </c>
    </row>
    <row r="15" ht="18" customHeight="1">
      <c r="A15" s="59" t="inlineStr">
        <is>
          <t>Total Print Time</t>
        </is>
      </c>
      <c r="B15" s="60">
        <f>IFERROR(TEXT(Quote!D15*Quote!B61,"#,##0.00")&amp;" h for "&amp;TEXT(Quote!B61,"#,##0")&amp;" pcs","--")</f>
        <v/>
      </c>
      <c r="C15" s="2" t="n"/>
      <c r="D15" s="2" t="n"/>
      <c r="E15" s="3" t="n"/>
    </row>
    <row r="16" ht="18" customHeight="1">
      <c r="A16" s="59" t="inlineStr">
        <is>
          <t>Rush</t>
        </is>
      </c>
      <c r="B16" s="60">
        <f>IF(Quote!B7&gt;1,"Yes - "&amp;TEXT(Quote!B7,"0.0")&amp;"x","Standard")</f>
        <v/>
      </c>
    </row>
    <row r="17" ht="8" customHeight="1"/>
    <row r="18" ht="18" customHeight="1">
      <c r="A18" s="58" t="inlineStr">
        <is>
          <t>Pricing Schedule</t>
        </is>
      </c>
    </row>
    <row r="19" ht="18" customHeight="1">
      <c r="A19" s="63" t="inlineStr">
        <is>
          <t>Quantity</t>
        </is>
      </c>
      <c r="B19" s="63" t="inlineStr">
        <is>
          <t>Unit Price</t>
        </is>
      </c>
      <c r="C19" s="63" t="inlineStr">
        <is>
          <t>Total</t>
        </is>
      </c>
      <c r="D19" s="63" t="inlineStr"/>
      <c r="E19" s="63" t="inlineStr"/>
    </row>
    <row r="20" ht="18" customHeight="1">
      <c r="A20" s="64">
        <f>Quote!E59</f>
        <v/>
      </c>
      <c r="B20" s="126">
        <f>Quote!F59</f>
        <v/>
      </c>
      <c r="C20" s="126">
        <f>Quote!G59</f>
        <v/>
      </c>
      <c r="D20" s="66" t="n"/>
      <c r="E20" s="66" t="n"/>
    </row>
    <row r="21" ht="18" customHeight="1">
      <c r="A21" s="67">
        <f>Quote!E60</f>
        <v/>
      </c>
      <c r="B21" s="127">
        <f>Quote!F60</f>
        <v/>
      </c>
      <c r="C21" s="127">
        <f>Quote!G60</f>
        <v/>
      </c>
      <c r="D21" s="69" t="n"/>
      <c r="E21" s="69" t="n"/>
    </row>
    <row r="22" ht="18" customHeight="1">
      <c r="A22" s="64">
        <f>Quote!E61</f>
        <v/>
      </c>
      <c r="B22" s="126">
        <f>Quote!F61</f>
        <v/>
      </c>
      <c r="C22" s="126">
        <f>Quote!G61</f>
        <v/>
      </c>
      <c r="D22" s="66" t="n"/>
      <c r="E22" s="66" t="n"/>
    </row>
    <row r="23" ht="18" customHeight="1">
      <c r="A23" s="67">
        <f>Quote!E62</f>
        <v/>
      </c>
      <c r="B23" s="127">
        <f>Quote!F62</f>
        <v/>
      </c>
      <c r="C23" s="127">
        <f>Quote!G62</f>
        <v/>
      </c>
      <c r="D23" s="69" t="n"/>
      <c r="E23" s="69" t="n"/>
    </row>
    <row r="24" ht="18" customHeight="1">
      <c r="A24" s="64">
        <f>Quote!E63</f>
        <v/>
      </c>
      <c r="B24" s="126">
        <f>Quote!F63</f>
        <v/>
      </c>
      <c r="C24" s="126">
        <f>Quote!G63</f>
        <v/>
      </c>
      <c r="D24" s="66" t="n"/>
      <c r="E24" s="66" t="n"/>
    </row>
    <row r="25" ht="18" customHeight="1">
      <c r="A25" s="67">
        <f>Quote!E64</f>
        <v/>
      </c>
      <c r="B25" s="127">
        <f>Quote!F64</f>
        <v/>
      </c>
      <c r="C25" s="127">
        <f>Quote!G64</f>
        <v/>
      </c>
      <c r="D25" s="69" t="n"/>
      <c r="E25" s="69" t="n"/>
    </row>
    <row r="26" ht="8" customHeight="1"/>
    <row r="27" ht="18" customHeight="1">
      <c r="A27" s="58" t="inlineStr">
        <is>
          <t>Filament Comparison (at quoted quantity)</t>
        </is>
      </c>
    </row>
    <row r="28" ht="18" customHeight="1">
      <c r="A28" s="63" t="inlineStr">
        <is>
          <t>Material</t>
        </is>
      </c>
      <c r="B28" s="63" t="inlineStr">
        <is>
          <t>Unit Price</t>
        </is>
      </c>
      <c r="C28" s="63" t="inlineStr">
        <is>
          <t>Total</t>
        </is>
      </c>
      <c r="D28" s="63" t="inlineStr"/>
      <c r="E28" s="63" t="inlineStr"/>
    </row>
    <row r="29" ht="18" customHeight="1">
      <c r="A29" s="70" t="inlineStr">
        <is>
          <t>PLA+</t>
        </is>
      </c>
      <c r="B29" s="128">
        <f>Quote!B75</f>
        <v/>
      </c>
      <c r="C29" s="128">
        <f>Quote!C75</f>
        <v/>
      </c>
      <c r="D29" s="72">
        <f>IF(Quote!B13="PLA+","selected","")</f>
        <v/>
      </c>
      <c r="E29" s="72" t="n"/>
    </row>
    <row r="30" ht="18" customHeight="1">
      <c r="A30" s="73" t="inlineStr">
        <is>
          <t>PETG</t>
        </is>
      </c>
      <c r="B30" s="127">
        <f>Quote!B76</f>
        <v/>
      </c>
      <c r="C30" s="127">
        <f>Quote!C76</f>
        <v/>
      </c>
      <c r="D30" s="69">
        <f>IF(Quote!B13="PETG","selected","")</f>
        <v/>
      </c>
      <c r="E30" s="69" t="n"/>
    </row>
    <row r="31" ht="18" customHeight="1">
      <c r="A31" s="70" t="inlineStr">
        <is>
          <t>PETG-CF</t>
        </is>
      </c>
      <c r="B31" s="128">
        <f>Quote!B77</f>
        <v/>
      </c>
      <c r="C31" s="128">
        <f>Quote!C77</f>
        <v/>
      </c>
      <c r="D31" s="72">
        <f>IF(Quote!B13="PETG-CF","selected","")</f>
        <v/>
      </c>
      <c r="E31" s="72" t="n"/>
    </row>
    <row r="32" ht="18" customHeight="1">
      <c r="A32" s="73" t="inlineStr">
        <is>
          <t>ABS</t>
        </is>
      </c>
      <c r="B32" s="127">
        <f>Quote!B78</f>
        <v/>
      </c>
      <c r="C32" s="127">
        <f>Quote!C78</f>
        <v/>
      </c>
      <c r="D32" s="69">
        <f>IF(Quote!B13="ABS","selected","")</f>
        <v/>
      </c>
      <c r="E32" s="69" t="n"/>
    </row>
    <row r="33" ht="8" customHeight="1"/>
    <row r="34" ht="30" customHeight="1">
      <c r="A34" s="74" t="inlineStr">
        <is>
          <t>Quoted Price</t>
        </is>
      </c>
      <c r="B34" s="129">
        <f>IF(Quote!B64&gt;0,Quote!B64,Quote!B63)</f>
        <v/>
      </c>
      <c r="C34" s="2" t="n"/>
      <c r="D34" s="2" t="n"/>
      <c r="E34" s="3" t="n"/>
    </row>
    <row r="35" ht="20" customHeight="1">
      <c r="A35" s="59" t="inlineStr">
        <is>
          <t>Per Unit</t>
        </is>
      </c>
      <c r="B35" s="142">
        <f>IF(Quote!B64&gt;0,Quote!B64/Quote!B61,Quote!B62)</f>
        <v/>
      </c>
      <c r="C35" s="2" t="n"/>
      <c r="D35" s="2" t="n"/>
      <c r="E35" s="3" t="n"/>
    </row>
    <row r="36" ht="6" customHeight="1">
      <c r="A36" s="76" t="n"/>
    </row>
    <row r="37" ht="18" customHeight="1">
      <c r="A37" s="76">
        <f>IF(Quote!B9&lt;&gt;"","This quote is valid until "&amp;TEXT(Quote!B9,"MM/DD/YYYY")&amp;". ","")&amp;"All prices exclude applicable taxes."</f>
        <v/>
      </c>
    </row>
  </sheetData>
  <mergeCells count="7">
    <mergeCell ref="B35:E35"/>
    <mergeCell ref="A2:E2"/>
    <mergeCell ref="B15:E15"/>
    <mergeCell ref="A1:E1"/>
    <mergeCell ref="B11:E11"/>
    <mergeCell ref="A37:E37"/>
    <mergeCell ref="B34:E34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K103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6" customWidth="1" min="1" max="1"/>
    <col width="16" customWidth="1" min="2" max="2"/>
    <col width="13" customWidth="1" min="3" max="3"/>
    <col width="20" customWidth="1" min="4" max="4"/>
    <col width="22" customWidth="1" min="5" max="5"/>
    <col width="13" customWidth="1" min="6" max="6"/>
    <col width="8" customWidth="1" min="7" max="7"/>
    <col width="13" customWidth="1" min="8" max="8"/>
    <col width="11" customWidth="1" min="9" max="9"/>
    <col width="12" customWidth="1" min="10" max="10"/>
    <col width="12" customWidth="1" min="11" max="11"/>
    <col width="12" customWidth="1" min="12" max="12"/>
    <col width="10" customWidth="1" min="13" max="13"/>
    <col width="12" customWidth="1" min="14" max="14"/>
    <col width="8" customWidth="1" min="15" max="15"/>
    <col width="24" customWidth="1" min="16" max="16"/>
    <col width="15" customWidth="1" min="17" max="17"/>
    <col width="13" customWidth="1" min="18" max="18"/>
    <col width="10" customWidth="1" min="19" max="19"/>
    <col width="11" customWidth="1" min="20" max="20"/>
    <col width="10" customWidth="1" min="21" max="21"/>
    <col width="15" customWidth="1" min="22" max="22"/>
    <col width="11" customWidth="1" min="23" max="23"/>
    <col width="12" customWidth="1" min="24" max="24"/>
    <col width="11" customWidth="1" min="25" max="25"/>
    <col width="12" customWidth="1" min="26" max="26"/>
    <col width="11" customWidth="1" min="27" max="27"/>
    <col width="11" customWidth="1" min="28" max="28"/>
    <col width="12" customWidth="1" min="29" max="29"/>
    <col width="12" customWidth="1" min="30" max="30"/>
    <col width="12" customWidth="1" min="31" max="31"/>
    <col width="12" customWidth="1" min="32" max="32"/>
    <col width="12" customWidth="1" min="33" max="33"/>
    <col width="12" customWidth="1" min="34" max="34"/>
    <col width="12" customWidth="1" min="35" max="35"/>
    <col width="10" customWidth="1" min="36" max="36"/>
    <col width="12" customWidth="1" min="37" max="37"/>
  </cols>
  <sheetData>
    <row r="1" ht="20" customHeight="1">
      <c r="A1" s="77" t="inlineStr">
        <is>
          <t>SUMMARY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3" t="n"/>
      <c r="Q1" s="78" t="inlineStr">
        <is>
          <t>FULL INPUTS (used by Reload Quote macro)</t>
        </is>
      </c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2" t="n"/>
      <c r="AF1" s="2" t="n"/>
      <c r="AG1" s="2" t="n"/>
      <c r="AH1" s="2" t="n"/>
      <c r="AI1" s="2" t="n"/>
      <c r="AJ1" s="2" t="n"/>
      <c r="AK1" s="3" t="n"/>
    </row>
    <row r="2" ht="20" customHeight="1">
      <c r="A2" s="45" t="inlineStr">
        <is>
          <t>#</t>
        </is>
      </c>
      <c r="B2" s="45" t="inlineStr">
        <is>
          <t>Quote ID</t>
        </is>
      </c>
      <c r="C2" s="45" t="inlineStr">
        <is>
          <t>Date</t>
        </is>
      </c>
      <c r="D2" s="45" t="inlineStr">
        <is>
          <t>Customer</t>
        </is>
      </c>
      <c r="E2" s="45" t="inlineStr">
        <is>
          <t>Description</t>
        </is>
      </c>
      <c r="F2" s="45" t="inlineStr">
        <is>
          <t>Status</t>
        </is>
      </c>
      <c r="G2" s="45" t="inlineStr">
        <is>
          <t>Qty</t>
        </is>
      </c>
      <c r="H2" s="45" t="inlineStr">
        <is>
          <t>Material</t>
        </is>
      </c>
      <c r="I2" s="45" t="inlineStr">
        <is>
          <t>Print Time</t>
        </is>
      </c>
      <c r="J2" s="45" t="inlineStr">
        <is>
          <t>Cost/pc</t>
        </is>
      </c>
      <c r="K2" s="45" t="inlineStr">
        <is>
          <t>Suggested</t>
        </is>
      </c>
      <c r="L2" s="45" t="inlineStr">
        <is>
          <t>Quoted</t>
        </is>
      </c>
      <c r="M2" s="45" t="inlineStr">
        <is>
          <t>Margin %</t>
        </is>
      </c>
      <c r="N2" s="45" t="inlineStr">
        <is>
          <t>Profit</t>
        </is>
      </c>
      <c r="O2" s="45" t="inlineStr">
        <is>
          <t>Rush</t>
        </is>
      </c>
      <c r="P2" s="45" t="inlineStr">
        <is>
          <t>Notes</t>
        </is>
      </c>
      <c r="Q2" s="79" t="inlineStr">
        <is>
          <t>Printer</t>
        </is>
      </c>
      <c r="R2" s="79" t="inlineStr">
        <is>
          <t>Filament</t>
        </is>
      </c>
      <c r="S2" s="79" t="inlineStr">
        <is>
          <t>Weight(g)</t>
        </is>
      </c>
      <c r="T2" s="79" t="inlineStr">
        <is>
          <t>Raw Time</t>
        </is>
      </c>
      <c r="U2" s="79" t="inlineStr">
        <is>
          <t>Complexity</t>
        </is>
      </c>
      <c r="V2" s="79" t="inlineStr">
        <is>
          <t>Supp.Filament</t>
        </is>
      </c>
      <c r="W2" s="79" t="inlineStr">
        <is>
          <t>Supp.Wt(g)</t>
        </is>
      </c>
      <c r="X2" s="79" t="inlineStr">
        <is>
          <t>Prep Model</t>
        </is>
      </c>
      <c r="Y2" s="79" t="inlineStr">
        <is>
          <t>Prep Slice</t>
        </is>
      </c>
      <c r="Z2" s="79" t="inlineStr">
        <is>
          <t>Post Remove</t>
        </is>
      </c>
      <c r="AA2" s="45" t="inlineStr">
        <is>
          <t>Post Support</t>
        </is>
      </c>
      <c r="AB2" s="45" t="inlineStr">
        <is>
          <t>Post Extra</t>
        </is>
      </c>
      <c r="AC2" s="45" t="inlineStr">
        <is>
          <t>Fin.Sanding</t>
        </is>
      </c>
      <c r="AD2" s="45" t="inlineStr">
        <is>
          <t>Fin.Paint</t>
        </is>
      </c>
      <c r="AE2" s="45" t="inlineStr">
        <is>
          <t>Fin.Hardware</t>
        </is>
      </c>
      <c r="AF2" s="45" t="inlineStr">
        <is>
          <t>Fin.Other</t>
        </is>
      </c>
      <c r="AG2" s="45" t="inlineStr">
        <is>
          <t>Ship.Pack</t>
        </is>
      </c>
      <c r="AH2" s="45" t="inlineStr">
        <is>
          <t>Ship.Cost</t>
        </is>
      </c>
      <c r="AI2" s="45" t="inlineStr">
        <is>
          <t>Consumables</t>
        </is>
      </c>
      <c r="AJ2" s="45" t="inlineStr">
        <is>
          <t>Expiry</t>
        </is>
      </c>
      <c r="AK2" s="45" t="inlineStr">
        <is>
          <t>Quoted Price</t>
        </is>
      </c>
    </row>
    <row r="3" ht="16" customHeight="1">
      <c r="A3" s="17" t="inlineStr">
        <is>
          <t>Entries are logged automatically when you click LOG THIS QUOTE.</t>
        </is>
      </c>
    </row>
    <row r="4" ht="17" customHeight="1">
      <c r="A4" s="80" t="n"/>
      <c r="B4" s="81" t="n"/>
      <c r="C4" s="130" t="n"/>
      <c r="D4" s="83" t="n"/>
      <c r="E4" s="83" t="n"/>
      <c r="F4" s="83" t="n"/>
      <c r="G4" s="84" t="n"/>
      <c r="H4" s="83" t="n"/>
      <c r="I4" s="131" t="n"/>
      <c r="J4" s="132" t="n"/>
      <c r="K4" s="132" t="n"/>
      <c r="L4" s="132" t="n"/>
      <c r="M4" s="133" t="n"/>
      <c r="N4" s="132" t="n"/>
      <c r="O4" s="81" t="n"/>
      <c r="P4" s="83" t="n"/>
      <c r="Q4" s="88" t="n"/>
      <c r="R4" s="88" t="n"/>
      <c r="S4" s="89" t="n"/>
      <c r="T4" s="89" t="n"/>
      <c r="U4" s="89" t="n"/>
      <c r="V4" s="88" t="n"/>
      <c r="W4" s="89" t="n"/>
      <c r="X4" s="89" t="n"/>
      <c r="Y4" s="89" t="n"/>
      <c r="Z4" s="89" t="n"/>
      <c r="AA4" s="89" t="n"/>
      <c r="AB4" s="89" t="n"/>
      <c r="AC4" s="134" t="n"/>
      <c r="AD4" s="134" t="n"/>
      <c r="AE4" s="134" t="n"/>
      <c r="AF4" s="134" t="n"/>
      <c r="AG4" s="134" t="n"/>
      <c r="AH4" s="134" t="n"/>
      <c r="AI4" s="134" t="n"/>
      <c r="AJ4" s="135" t="n"/>
      <c r="AK4" s="134" t="n"/>
    </row>
    <row r="5" ht="17" customHeight="1">
      <c r="A5" s="80" t="n"/>
      <c r="B5" s="92" t="n"/>
      <c r="C5" s="136" t="n"/>
      <c r="D5" s="94" t="n"/>
      <c r="E5" s="94" t="n"/>
      <c r="F5" s="94" t="n"/>
      <c r="G5" s="95" t="n"/>
      <c r="H5" s="94" t="n"/>
      <c r="I5" s="137" t="n"/>
      <c r="J5" s="138" t="n"/>
      <c r="K5" s="138" t="n"/>
      <c r="L5" s="138" t="n"/>
      <c r="M5" s="139" t="n"/>
      <c r="N5" s="138" t="n"/>
      <c r="O5" s="92" t="n"/>
      <c r="P5" s="94" t="n"/>
      <c r="Q5" s="99" t="n"/>
      <c r="R5" s="99" t="n"/>
      <c r="S5" s="100" t="n"/>
      <c r="T5" s="100" t="n"/>
      <c r="U5" s="100" t="n"/>
      <c r="V5" s="99" t="n"/>
      <c r="W5" s="100" t="n"/>
      <c r="X5" s="100" t="n"/>
      <c r="Y5" s="100" t="n"/>
      <c r="Z5" s="100" t="n"/>
      <c r="AA5" s="100" t="n"/>
      <c r="AB5" s="100" t="n"/>
      <c r="AC5" s="140" t="n"/>
      <c r="AD5" s="140" t="n"/>
      <c r="AE5" s="140" t="n"/>
      <c r="AF5" s="140" t="n"/>
      <c r="AG5" s="140" t="n"/>
      <c r="AH5" s="140" t="n"/>
      <c r="AI5" s="140" t="n"/>
      <c r="AJ5" s="141" t="n"/>
      <c r="AK5" s="140" t="n"/>
    </row>
    <row r="6" ht="17" customHeight="1">
      <c r="A6" s="80" t="n"/>
      <c r="B6" s="81" t="n"/>
      <c r="C6" s="130" t="n"/>
      <c r="D6" s="83" t="n"/>
      <c r="E6" s="83" t="n"/>
      <c r="F6" s="83" t="n"/>
      <c r="G6" s="84" t="n"/>
      <c r="H6" s="83" t="n"/>
      <c r="I6" s="131" t="n"/>
      <c r="J6" s="132" t="n"/>
      <c r="K6" s="132" t="n"/>
      <c r="L6" s="132" t="n"/>
      <c r="M6" s="133" t="n"/>
      <c r="N6" s="132" t="n"/>
      <c r="O6" s="81" t="n"/>
      <c r="P6" s="83" t="n"/>
      <c r="Q6" s="88" t="n"/>
      <c r="R6" s="88" t="n"/>
      <c r="S6" s="89" t="n"/>
      <c r="T6" s="89" t="n"/>
      <c r="U6" s="89" t="n"/>
      <c r="V6" s="88" t="n"/>
      <c r="W6" s="89" t="n"/>
      <c r="X6" s="89" t="n"/>
      <c r="Y6" s="89" t="n"/>
      <c r="Z6" s="89" t="n"/>
      <c r="AA6" s="89" t="n"/>
      <c r="AB6" s="89" t="n"/>
      <c r="AC6" s="134" t="n"/>
      <c r="AD6" s="134" t="n"/>
      <c r="AE6" s="134" t="n"/>
      <c r="AF6" s="134" t="n"/>
      <c r="AG6" s="134" t="n"/>
      <c r="AH6" s="134" t="n"/>
      <c r="AI6" s="134" t="n"/>
      <c r="AJ6" s="135" t="n"/>
      <c r="AK6" s="134" t="n"/>
    </row>
    <row r="7" ht="17" customHeight="1">
      <c r="A7" s="80" t="n"/>
      <c r="B7" s="92" t="n"/>
      <c r="C7" s="136" t="n"/>
      <c r="D7" s="94" t="n"/>
      <c r="E7" s="94" t="n"/>
      <c r="F7" s="94" t="n"/>
      <c r="G7" s="95" t="n"/>
      <c r="H7" s="94" t="n"/>
      <c r="I7" s="137" t="n"/>
      <c r="J7" s="138" t="n"/>
      <c r="K7" s="138" t="n"/>
      <c r="L7" s="138" t="n"/>
      <c r="M7" s="139" t="n"/>
      <c r="N7" s="138" t="n"/>
      <c r="O7" s="92" t="n"/>
      <c r="P7" s="94" t="n"/>
      <c r="Q7" s="99" t="n"/>
      <c r="R7" s="99" t="n"/>
      <c r="S7" s="100" t="n"/>
      <c r="T7" s="100" t="n"/>
      <c r="U7" s="100" t="n"/>
      <c r="V7" s="99" t="n"/>
      <c r="W7" s="100" t="n"/>
      <c r="X7" s="100" t="n"/>
      <c r="Y7" s="100" t="n"/>
      <c r="Z7" s="100" t="n"/>
      <c r="AA7" s="100" t="n"/>
      <c r="AB7" s="100" t="n"/>
      <c r="AC7" s="140" t="n"/>
      <c r="AD7" s="140" t="n"/>
      <c r="AE7" s="140" t="n"/>
      <c r="AF7" s="140" t="n"/>
      <c r="AG7" s="140" t="n"/>
      <c r="AH7" s="140" t="n"/>
      <c r="AI7" s="140" t="n"/>
      <c r="AJ7" s="141" t="n"/>
      <c r="AK7" s="140" t="n"/>
    </row>
    <row r="8" ht="17" customHeight="1">
      <c r="A8" s="80" t="n"/>
      <c r="B8" s="81" t="n"/>
      <c r="C8" s="130" t="n"/>
      <c r="D8" s="83" t="n"/>
      <c r="E8" s="83" t="n"/>
      <c r="F8" s="83" t="n"/>
      <c r="G8" s="84" t="n"/>
      <c r="H8" s="83" t="n"/>
      <c r="I8" s="131" t="n"/>
      <c r="J8" s="132" t="n"/>
      <c r="K8" s="132" t="n"/>
      <c r="L8" s="132" t="n"/>
      <c r="M8" s="133" t="n"/>
      <c r="N8" s="132" t="n"/>
      <c r="O8" s="81" t="n"/>
      <c r="P8" s="83" t="n"/>
      <c r="Q8" s="88" t="n"/>
      <c r="R8" s="88" t="n"/>
      <c r="S8" s="89" t="n"/>
      <c r="T8" s="89" t="n"/>
      <c r="U8" s="89" t="n"/>
      <c r="V8" s="88" t="n"/>
      <c r="W8" s="89" t="n"/>
      <c r="X8" s="89" t="n"/>
      <c r="Y8" s="89" t="n"/>
      <c r="Z8" s="89" t="n"/>
      <c r="AA8" s="89" t="n"/>
      <c r="AB8" s="89" t="n"/>
      <c r="AC8" s="134" t="n"/>
      <c r="AD8" s="134" t="n"/>
      <c r="AE8" s="134" t="n"/>
      <c r="AF8" s="134" t="n"/>
      <c r="AG8" s="134" t="n"/>
      <c r="AH8" s="134" t="n"/>
      <c r="AI8" s="134" t="n"/>
      <c r="AJ8" s="135" t="n"/>
      <c r="AK8" s="134" t="n"/>
    </row>
    <row r="9" ht="17" customHeight="1">
      <c r="A9" s="80" t="n"/>
      <c r="B9" s="92" t="n"/>
      <c r="C9" s="136" t="n"/>
      <c r="D9" s="94" t="n"/>
      <c r="E9" s="94" t="n"/>
      <c r="F9" s="94" t="n"/>
      <c r="G9" s="95" t="n"/>
      <c r="H9" s="94" t="n"/>
      <c r="I9" s="137" t="n"/>
      <c r="J9" s="138" t="n"/>
      <c r="K9" s="138" t="n"/>
      <c r="L9" s="138" t="n"/>
      <c r="M9" s="139" t="n"/>
      <c r="N9" s="138" t="n"/>
      <c r="O9" s="92" t="n"/>
      <c r="P9" s="94" t="n"/>
      <c r="Q9" s="99" t="n"/>
      <c r="R9" s="99" t="n"/>
      <c r="S9" s="100" t="n"/>
      <c r="T9" s="100" t="n"/>
      <c r="U9" s="100" t="n"/>
      <c r="V9" s="99" t="n"/>
      <c r="W9" s="100" t="n"/>
      <c r="X9" s="100" t="n"/>
      <c r="Y9" s="100" t="n"/>
      <c r="Z9" s="100" t="n"/>
      <c r="AA9" s="100" t="n"/>
      <c r="AB9" s="100" t="n"/>
      <c r="AC9" s="140" t="n"/>
      <c r="AD9" s="140" t="n"/>
      <c r="AE9" s="140" t="n"/>
      <c r="AF9" s="140" t="n"/>
      <c r="AG9" s="140" t="n"/>
      <c r="AH9" s="140" t="n"/>
      <c r="AI9" s="140" t="n"/>
      <c r="AJ9" s="141" t="n"/>
      <c r="AK9" s="140" t="n"/>
    </row>
    <row r="10" ht="17" customHeight="1">
      <c r="A10" s="80" t="n"/>
      <c r="B10" s="81" t="n"/>
      <c r="C10" s="130" t="n"/>
      <c r="D10" s="83" t="n"/>
      <c r="E10" s="83" t="n"/>
      <c r="F10" s="83" t="n"/>
      <c r="G10" s="84" t="n"/>
      <c r="H10" s="83" t="n"/>
      <c r="I10" s="131" t="n"/>
      <c r="J10" s="132" t="n"/>
      <c r="K10" s="132" t="n"/>
      <c r="L10" s="132" t="n"/>
      <c r="M10" s="133" t="n"/>
      <c r="N10" s="132" t="n"/>
      <c r="O10" s="81" t="n"/>
      <c r="P10" s="83" t="n"/>
      <c r="Q10" s="88" t="n"/>
      <c r="R10" s="88" t="n"/>
      <c r="S10" s="89" t="n"/>
      <c r="T10" s="89" t="n"/>
      <c r="U10" s="89" t="n"/>
      <c r="V10" s="88" t="n"/>
      <c r="W10" s="89" t="n"/>
      <c r="X10" s="89" t="n"/>
      <c r="Y10" s="89" t="n"/>
      <c r="Z10" s="89" t="n"/>
      <c r="AA10" s="89" t="n"/>
      <c r="AB10" s="89" t="n"/>
      <c r="AC10" s="134" t="n"/>
      <c r="AD10" s="134" t="n"/>
      <c r="AE10" s="134" t="n"/>
      <c r="AF10" s="134" t="n"/>
      <c r="AG10" s="134" t="n"/>
      <c r="AH10" s="134" t="n"/>
      <c r="AI10" s="134" t="n"/>
      <c r="AJ10" s="135" t="n"/>
      <c r="AK10" s="134" t="n"/>
    </row>
    <row r="11" ht="17" customHeight="1">
      <c r="A11" s="80" t="n"/>
      <c r="B11" s="92" t="n"/>
      <c r="C11" s="136" t="n"/>
      <c r="D11" s="94" t="n"/>
      <c r="E11" s="94" t="n"/>
      <c r="F11" s="94" t="n"/>
      <c r="G11" s="95" t="n"/>
      <c r="H11" s="94" t="n"/>
      <c r="I11" s="137" t="n"/>
      <c r="J11" s="138" t="n"/>
      <c r="K11" s="138" t="n"/>
      <c r="L11" s="138" t="n"/>
      <c r="M11" s="139" t="n"/>
      <c r="N11" s="138" t="n"/>
      <c r="O11" s="92" t="n"/>
      <c r="P11" s="94" t="n"/>
      <c r="Q11" s="99" t="n"/>
      <c r="R11" s="99" t="n"/>
      <c r="S11" s="100" t="n"/>
      <c r="T11" s="100" t="n"/>
      <c r="U11" s="100" t="n"/>
      <c r="V11" s="99" t="n"/>
      <c r="W11" s="100" t="n"/>
      <c r="X11" s="100" t="n"/>
      <c r="Y11" s="100" t="n"/>
      <c r="Z11" s="100" t="n"/>
      <c r="AA11" s="100" t="n"/>
      <c r="AB11" s="100" t="n"/>
      <c r="AC11" s="140" t="n"/>
      <c r="AD11" s="140" t="n"/>
      <c r="AE11" s="140" t="n"/>
      <c r="AF11" s="140" t="n"/>
      <c r="AG11" s="140" t="n"/>
      <c r="AH11" s="140" t="n"/>
      <c r="AI11" s="140" t="n"/>
      <c r="AJ11" s="141" t="n"/>
      <c r="AK11" s="140" t="n"/>
    </row>
    <row r="12" ht="17" customHeight="1">
      <c r="A12" s="80" t="n"/>
      <c r="B12" s="81" t="n"/>
      <c r="C12" s="130" t="n"/>
      <c r="D12" s="83" t="n"/>
      <c r="E12" s="83" t="n"/>
      <c r="F12" s="83" t="n"/>
      <c r="G12" s="84" t="n"/>
      <c r="H12" s="83" t="n"/>
      <c r="I12" s="131" t="n"/>
      <c r="J12" s="132" t="n"/>
      <c r="K12" s="132" t="n"/>
      <c r="L12" s="132" t="n"/>
      <c r="M12" s="133" t="n"/>
      <c r="N12" s="132" t="n"/>
      <c r="O12" s="81" t="n"/>
      <c r="P12" s="83" t="n"/>
      <c r="Q12" s="88" t="n"/>
      <c r="R12" s="88" t="n"/>
      <c r="S12" s="89" t="n"/>
      <c r="T12" s="89" t="n"/>
      <c r="U12" s="89" t="n"/>
      <c r="V12" s="88" t="n"/>
      <c r="W12" s="89" t="n"/>
      <c r="X12" s="89" t="n"/>
      <c r="Y12" s="89" t="n"/>
      <c r="Z12" s="89" t="n"/>
      <c r="AA12" s="89" t="n"/>
      <c r="AB12" s="89" t="n"/>
      <c r="AC12" s="134" t="n"/>
      <c r="AD12" s="134" t="n"/>
      <c r="AE12" s="134" t="n"/>
      <c r="AF12" s="134" t="n"/>
      <c r="AG12" s="134" t="n"/>
      <c r="AH12" s="134" t="n"/>
      <c r="AI12" s="134" t="n"/>
      <c r="AJ12" s="135" t="n"/>
      <c r="AK12" s="134" t="n"/>
    </row>
    <row r="13" ht="17" customHeight="1">
      <c r="A13" s="80" t="n"/>
      <c r="B13" s="92" t="n"/>
      <c r="C13" s="136" t="n"/>
      <c r="D13" s="94" t="n"/>
      <c r="E13" s="94" t="n"/>
      <c r="F13" s="94" t="n"/>
      <c r="G13" s="95" t="n"/>
      <c r="H13" s="94" t="n"/>
      <c r="I13" s="137" t="n"/>
      <c r="J13" s="138" t="n"/>
      <c r="K13" s="138" t="n"/>
      <c r="L13" s="138" t="n"/>
      <c r="M13" s="139" t="n"/>
      <c r="N13" s="138" t="n"/>
      <c r="O13" s="92" t="n"/>
      <c r="P13" s="94" t="n"/>
      <c r="Q13" s="99" t="n"/>
      <c r="R13" s="99" t="n"/>
      <c r="S13" s="100" t="n"/>
      <c r="T13" s="100" t="n"/>
      <c r="U13" s="100" t="n"/>
      <c r="V13" s="99" t="n"/>
      <c r="W13" s="100" t="n"/>
      <c r="X13" s="100" t="n"/>
      <c r="Y13" s="100" t="n"/>
      <c r="Z13" s="100" t="n"/>
      <c r="AA13" s="100" t="n"/>
      <c r="AB13" s="100" t="n"/>
      <c r="AC13" s="140" t="n"/>
      <c r="AD13" s="140" t="n"/>
      <c r="AE13" s="140" t="n"/>
      <c r="AF13" s="140" t="n"/>
      <c r="AG13" s="140" t="n"/>
      <c r="AH13" s="140" t="n"/>
      <c r="AI13" s="140" t="n"/>
      <c r="AJ13" s="141" t="n"/>
      <c r="AK13" s="140" t="n"/>
    </row>
    <row r="14" ht="17" customHeight="1">
      <c r="A14" s="80" t="n"/>
      <c r="B14" s="81" t="n"/>
      <c r="C14" s="130" t="n"/>
      <c r="D14" s="83" t="n"/>
      <c r="E14" s="83" t="n"/>
      <c r="F14" s="83" t="n"/>
      <c r="G14" s="84" t="n"/>
      <c r="H14" s="83" t="n"/>
      <c r="I14" s="131" t="n"/>
      <c r="J14" s="132" t="n"/>
      <c r="K14" s="132" t="n"/>
      <c r="L14" s="132" t="n"/>
      <c r="M14" s="133" t="n"/>
      <c r="N14" s="132" t="n"/>
      <c r="O14" s="81" t="n"/>
      <c r="P14" s="83" t="n"/>
      <c r="Q14" s="88" t="n"/>
      <c r="R14" s="88" t="n"/>
      <c r="S14" s="89" t="n"/>
      <c r="T14" s="89" t="n"/>
      <c r="U14" s="89" t="n"/>
      <c r="V14" s="88" t="n"/>
      <c r="W14" s="89" t="n"/>
      <c r="X14" s="89" t="n"/>
      <c r="Y14" s="89" t="n"/>
      <c r="Z14" s="89" t="n"/>
      <c r="AA14" s="89" t="n"/>
      <c r="AB14" s="89" t="n"/>
      <c r="AC14" s="134" t="n"/>
      <c r="AD14" s="134" t="n"/>
      <c r="AE14" s="134" t="n"/>
      <c r="AF14" s="134" t="n"/>
      <c r="AG14" s="134" t="n"/>
      <c r="AH14" s="134" t="n"/>
      <c r="AI14" s="134" t="n"/>
      <c r="AJ14" s="135" t="n"/>
      <c r="AK14" s="134" t="n"/>
    </row>
    <row r="15" ht="17" customHeight="1">
      <c r="A15" s="80" t="n"/>
      <c r="B15" s="92" t="n"/>
      <c r="C15" s="136" t="n"/>
      <c r="D15" s="94" t="n"/>
      <c r="E15" s="94" t="n"/>
      <c r="F15" s="94" t="n"/>
      <c r="G15" s="95" t="n"/>
      <c r="H15" s="94" t="n"/>
      <c r="I15" s="137" t="n"/>
      <c r="J15" s="138" t="n"/>
      <c r="K15" s="138" t="n"/>
      <c r="L15" s="138" t="n"/>
      <c r="M15" s="139" t="n"/>
      <c r="N15" s="138" t="n"/>
      <c r="O15" s="92" t="n"/>
      <c r="P15" s="94" t="n"/>
      <c r="Q15" s="99" t="n"/>
      <c r="R15" s="99" t="n"/>
      <c r="S15" s="100" t="n"/>
      <c r="T15" s="100" t="n"/>
      <c r="U15" s="100" t="n"/>
      <c r="V15" s="99" t="n"/>
      <c r="W15" s="100" t="n"/>
      <c r="X15" s="100" t="n"/>
      <c r="Y15" s="100" t="n"/>
      <c r="Z15" s="100" t="n"/>
      <c r="AA15" s="100" t="n"/>
      <c r="AB15" s="100" t="n"/>
      <c r="AC15" s="140" t="n"/>
      <c r="AD15" s="140" t="n"/>
      <c r="AE15" s="140" t="n"/>
      <c r="AF15" s="140" t="n"/>
      <c r="AG15" s="140" t="n"/>
      <c r="AH15" s="140" t="n"/>
      <c r="AI15" s="140" t="n"/>
      <c r="AJ15" s="141" t="n"/>
      <c r="AK15" s="140" t="n"/>
    </row>
    <row r="16" ht="17" customHeight="1">
      <c r="A16" s="80" t="n"/>
      <c r="B16" s="81" t="n"/>
      <c r="C16" s="130" t="n"/>
      <c r="D16" s="83" t="n"/>
      <c r="E16" s="83" t="n"/>
      <c r="F16" s="83" t="n"/>
      <c r="G16" s="84" t="n"/>
      <c r="H16" s="83" t="n"/>
      <c r="I16" s="131" t="n"/>
      <c r="J16" s="132" t="n"/>
      <c r="K16" s="132" t="n"/>
      <c r="L16" s="132" t="n"/>
      <c r="M16" s="133" t="n"/>
      <c r="N16" s="132" t="n"/>
      <c r="O16" s="81" t="n"/>
      <c r="P16" s="83" t="n"/>
      <c r="Q16" s="88" t="n"/>
      <c r="R16" s="88" t="n"/>
      <c r="S16" s="89" t="n"/>
      <c r="T16" s="89" t="n"/>
      <c r="U16" s="89" t="n"/>
      <c r="V16" s="88" t="n"/>
      <c r="W16" s="89" t="n"/>
      <c r="X16" s="89" t="n"/>
      <c r="Y16" s="89" t="n"/>
      <c r="Z16" s="89" t="n"/>
      <c r="AA16" s="89" t="n"/>
      <c r="AB16" s="89" t="n"/>
      <c r="AC16" s="134" t="n"/>
      <c r="AD16" s="134" t="n"/>
      <c r="AE16" s="134" t="n"/>
      <c r="AF16" s="134" t="n"/>
      <c r="AG16" s="134" t="n"/>
      <c r="AH16" s="134" t="n"/>
      <c r="AI16" s="134" t="n"/>
      <c r="AJ16" s="135" t="n"/>
      <c r="AK16" s="134" t="n"/>
    </row>
    <row r="17" ht="17" customHeight="1">
      <c r="A17" s="80" t="n"/>
      <c r="B17" s="92" t="n"/>
      <c r="C17" s="136" t="n"/>
      <c r="D17" s="94" t="n"/>
      <c r="E17" s="94" t="n"/>
      <c r="F17" s="94" t="n"/>
      <c r="G17" s="95" t="n"/>
      <c r="H17" s="94" t="n"/>
      <c r="I17" s="137" t="n"/>
      <c r="J17" s="138" t="n"/>
      <c r="K17" s="138" t="n"/>
      <c r="L17" s="138" t="n"/>
      <c r="M17" s="139" t="n"/>
      <c r="N17" s="138" t="n"/>
      <c r="O17" s="92" t="n"/>
      <c r="P17" s="94" t="n"/>
      <c r="Q17" s="99" t="n"/>
      <c r="R17" s="99" t="n"/>
      <c r="S17" s="100" t="n"/>
      <c r="T17" s="100" t="n"/>
      <c r="U17" s="100" t="n"/>
      <c r="V17" s="99" t="n"/>
      <c r="W17" s="100" t="n"/>
      <c r="X17" s="100" t="n"/>
      <c r="Y17" s="100" t="n"/>
      <c r="Z17" s="100" t="n"/>
      <c r="AA17" s="100" t="n"/>
      <c r="AB17" s="100" t="n"/>
      <c r="AC17" s="140" t="n"/>
      <c r="AD17" s="140" t="n"/>
      <c r="AE17" s="140" t="n"/>
      <c r="AF17" s="140" t="n"/>
      <c r="AG17" s="140" t="n"/>
      <c r="AH17" s="140" t="n"/>
      <c r="AI17" s="140" t="n"/>
      <c r="AJ17" s="141" t="n"/>
      <c r="AK17" s="140" t="n"/>
    </row>
    <row r="18" ht="17" customHeight="1">
      <c r="A18" s="80" t="n"/>
      <c r="B18" s="81" t="n"/>
      <c r="C18" s="130" t="n"/>
      <c r="D18" s="83" t="n"/>
      <c r="E18" s="83" t="n"/>
      <c r="F18" s="83" t="n"/>
      <c r="G18" s="84" t="n"/>
      <c r="H18" s="83" t="n"/>
      <c r="I18" s="131" t="n"/>
      <c r="J18" s="132" t="n"/>
      <c r="K18" s="132" t="n"/>
      <c r="L18" s="132" t="n"/>
      <c r="M18" s="133" t="n"/>
      <c r="N18" s="132" t="n"/>
      <c r="O18" s="81" t="n"/>
      <c r="P18" s="83" t="n"/>
      <c r="Q18" s="88" t="n"/>
      <c r="R18" s="88" t="n"/>
      <c r="S18" s="89" t="n"/>
      <c r="T18" s="89" t="n"/>
      <c r="U18" s="89" t="n"/>
      <c r="V18" s="88" t="n"/>
      <c r="W18" s="89" t="n"/>
      <c r="X18" s="89" t="n"/>
      <c r="Y18" s="89" t="n"/>
      <c r="Z18" s="89" t="n"/>
      <c r="AA18" s="89" t="n"/>
      <c r="AB18" s="89" t="n"/>
      <c r="AC18" s="134" t="n"/>
      <c r="AD18" s="134" t="n"/>
      <c r="AE18" s="134" t="n"/>
      <c r="AF18" s="134" t="n"/>
      <c r="AG18" s="134" t="n"/>
      <c r="AH18" s="134" t="n"/>
      <c r="AI18" s="134" t="n"/>
      <c r="AJ18" s="135" t="n"/>
      <c r="AK18" s="134" t="n"/>
    </row>
    <row r="19" ht="17" customHeight="1">
      <c r="A19" s="80" t="n"/>
      <c r="B19" s="92" t="n"/>
      <c r="C19" s="136" t="n"/>
      <c r="D19" s="94" t="n"/>
      <c r="E19" s="94" t="n"/>
      <c r="F19" s="94" t="n"/>
      <c r="G19" s="95" t="n"/>
      <c r="H19" s="94" t="n"/>
      <c r="I19" s="137" t="n"/>
      <c r="J19" s="138" t="n"/>
      <c r="K19" s="138" t="n"/>
      <c r="L19" s="138" t="n"/>
      <c r="M19" s="139" t="n"/>
      <c r="N19" s="138" t="n"/>
      <c r="O19" s="92" t="n"/>
      <c r="P19" s="94" t="n"/>
      <c r="Q19" s="99" t="n"/>
      <c r="R19" s="99" t="n"/>
      <c r="S19" s="100" t="n"/>
      <c r="T19" s="100" t="n"/>
      <c r="U19" s="100" t="n"/>
      <c r="V19" s="99" t="n"/>
      <c r="W19" s="100" t="n"/>
      <c r="X19" s="100" t="n"/>
      <c r="Y19" s="100" t="n"/>
      <c r="Z19" s="100" t="n"/>
      <c r="AA19" s="100" t="n"/>
      <c r="AB19" s="100" t="n"/>
      <c r="AC19" s="140" t="n"/>
      <c r="AD19" s="140" t="n"/>
      <c r="AE19" s="140" t="n"/>
      <c r="AF19" s="140" t="n"/>
      <c r="AG19" s="140" t="n"/>
      <c r="AH19" s="140" t="n"/>
      <c r="AI19" s="140" t="n"/>
      <c r="AJ19" s="141" t="n"/>
      <c r="AK19" s="140" t="n"/>
    </row>
    <row r="20" ht="17" customHeight="1">
      <c r="A20" s="80" t="n"/>
      <c r="B20" s="81" t="n"/>
      <c r="C20" s="130" t="n"/>
      <c r="D20" s="83" t="n"/>
      <c r="E20" s="83" t="n"/>
      <c r="F20" s="83" t="n"/>
      <c r="G20" s="84" t="n"/>
      <c r="H20" s="83" t="n"/>
      <c r="I20" s="131" t="n"/>
      <c r="J20" s="132" t="n"/>
      <c r="K20" s="132" t="n"/>
      <c r="L20" s="132" t="n"/>
      <c r="M20" s="133" t="n"/>
      <c r="N20" s="132" t="n"/>
      <c r="O20" s="81" t="n"/>
      <c r="P20" s="83" t="n"/>
      <c r="Q20" s="88" t="n"/>
      <c r="R20" s="88" t="n"/>
      <c r="S20" s="89" t="n"/>
      <c r="T20" s="89" t="n"/>
      <c r="U20" s="89" t="n"/>
      <c r="V20" s="88" t="n"/>
      <c r="W20" s="89" t="n"/>
      <c r="X20" s="89" t="n"/>
      <c r="Y20" s="89" t="n"/>
      <c r="Z20" s="89" t="n"/>
      <c r="AA20" s="89" t="n"/>
      <c r="AB20" s="89" t="n"/>
      <c r="AC20" s="134" t="n"/>
      <c r="AD20" s="134" t="n"/>
      <c r="AE20" s="134" t="n"/>
      <c r="AF20" s="134" t="n"/>
      <c r="AG20" s="134" t="n"/>
      <c r="AH20" s="134" t="n"/>
      <c r="AI20" s="134" t="n"/>
      <c r="AJ20" s="135" t="n"/>
      <c r="AK20" s="134" t="n"/>
    </row>
    <row r="21" ht="17" customHeight="1">
      <c r="A21" s="80" t="n"/>
      <c r="B21" s="92" t="n"/>
      <c r="C21" s="136" t="n"/>
      <c r="D21" s="94" t="n"/>
      <c r="E21" s="94" t="n"/>
      <c r="F21" s="94" t="n"/>
      <c r="G21" s="95" t="n"/>
      <c r="H21" s="94" t="n"/>
      <c r="I21" s="137" t="n"/>
      <c r="J21" s="138" t="n"/>
      <c r="K21" s="138" t="n"/>
      <c r="L21" s="138" t="n"/>
      <c r="M21" s="139" t="n"/>
      <c r="N21" s="138" t="n"/>
      <c r="O21" s="92" t="n"/>
      <c r="P21" s="94" t="n"/>
      <c r="Q21" s="99" t="n"/>
      <c r="R21" s="99" t="n"/>
      <c r="S21" s="100" t="n"/>
      <c r="T21" s="100" t="n"/>
      <c r="U21" s="100" t="n"/>
      <c r="V21" s="99" t="n"/>
      <c r="W21" s="100" t="n"/>
      <c r="X21" s="100" t="n"/>
      <c r="Y21" s="100" t="n"/>
      <c r="Z21" s="100" t="n"/>
      <c r="AA21" s="100" t="n"/>
      <c r="AB21" s="100" t="n"/>
      <c r="AC21" s="140" t="n"/>
      <c r="AD21" s="140" t="n"/>
      <c r="AE21" s="140" t="n"/>
      <c r="AF21" s="140" t="n"/>
      <c r="AG21" s="140" t="n"/>
      <c r="AH21" s="140" t="n"/>
      <c r="AI21" s="140" t="n"/>
      <c r="AJ21" s="141" t="n"/>
      <c r="AK21" s="140" t="n"/>
    </row>
    <row r="22" ht="17" customHeight="1">
      <c r="A22" s="80" t="n"/>
      <c r="B22" s="81" t="n"/>
      <c r="C22" s="130" t="n"/>
      <c r="D22" s="83" t="n"/>
      <c r="E22" s="83" t="n"/>
      <c r="F22" s="83" t="n"/>
      <c r="G22" s="84" t="n"/>
      <c r="H22" s="83" t="n"/>
      <c r="I22" s="131" t="n"/>
      <c r="J22" s="132" t="n"/>
      <c r="K22" s="132" t="n"/>
      <c r="L22" s="132" t="n"/>
      <c r="M22" s="133" t="n"/>
      <c r="N22" s="132" t="n"/>
      <c r="O22" s="81" t="n"/>
      <c r="P22" s="83" t="n"/>
      <c r="Q22" s="88" t="n"/>
      <c r="R22" s="88" t="n"/>
      <c r="S22" s="89" t="n"/>
      <c r="T22" s="89" t="n"/>
      <c r="U22" s="89" t="n"/>
      <c r="V22" s="88" t="n"/>
      <c r="W22" s="89" t="n"/>
      <c r="X22" s="89" t="n"/>
      <c r="Y22" s="89" t="n"/>
      <c r="Z22" s="89" t="n"/>
      <c r="AA22" s="89" t="n"/>
      <c r="AB22" s="89" t="n"/>
      <c r="AC22" s="134" t="n"/>
      <c r="AD22" s="134" t="n"/>
      <c r="AE22" s="134" t="n"/>
      <c r="AF22" s="134" t="n"/>
      <c r="AG22" s="134" t="n"/>
      <c r="AH22" s="134" t="n"/>
      <c r="AI22" s="134" t="n"/>
      <c r="AJ22" s="135" t="n"/>
      <c r="AK22" s="134" t="n"/>
    </row>
    <row r="23" ht="17" customHeight="1">
      <c r="A23" s="80" t="n"/>
      <c r="B23" s="92" t="n"/>
      <c r="C23" s="136" t="n"/>
      <c r="D23" s="94" t="n"/>
      <c r="E23" s="94" t="n"/>
      <c r="F23" s="94" t="n"/>
      <c r="G23" s="95" t="n"/>
      <c r="H23" s="94" t="n"/>
      <c r="I23" s="137" t="n"/>
      <c r="J23" s="138" t="n"/>
      <c r="K23" s="138" t="n"/>
      <c r="L23" s="138" t="n"/>
      <c r="M23" s="139" t="n"/>
      <c r="N23" s="138" t="n"/>
      <c r="O23" s="92" t="n"/>
      <c r="P23" s="94" t="n"/>
      <c r="Q23" s="99" t="n"/>
      <c r="R23" s="99" t="n"/>
      <c r="S23" s="100" t="n"/>
      <c r="T23" s="100" t="n"/>
      <c r="U23" s="100" t="n"/>
      <c r="V23" s="99" t="n"/>
      <c r="W23" s="100" t="n"/>
      <c r="X23" s="100" t="n"/>
      <c r="Y23" s="100" t="n"/>
      <c r="Z23" s="100" t="n"/>
      <c r="AA23" s="100" t="n"/>
      <c r="AB23" s="100" t="n"/>
      <c r="AC23" s="140" t="n"/>
      <c r="AD23" s="140" t="n"/>
      <c r="AE23" s="140" t="n"/>
      <c r="AF23" s="140" t="n"/>
      <c r="AG23" s="140" t="n"/>
      <c r="AH23" s="140" t="n"/>
      <c r="AI23" s="140" t="n"/>
      <c r="AJ23" s="141" t="n"/>
      <c r="AK23" s="140" t="n"/>
    </row>
    <row r="24" ht="17" customHeight="1">
      <c r="A24" s="80" t="n"/>
      <c r="B24" s="81" t="n"/>
      <c r="C24" s="130" t="n"/>
      <c r="D24" s="83" t="n"/>
      <c r="E24" s="83" t="n"/>
      <c r="F24" s="83" t="n"/>
      <c r="G24" s="84" t="n"/>
      <c r="H24" s="83" t="n"/>
      <c r="I24" s="131" t="n"/>
      <c r="J24" s="132" t="n"/>
      <c r="K24" s="132" t="n"/>
      <c r="L24" s="132" t="n"/>
      <c r="M24" s="133" t="n"/>
      <c r="N24" s="132" t="n"/>
      <c r="O24" s="81" t="n"/>
      <c r="P24" s="83" t="n"/>
      <c r="Q24" s="88" t="n"/>
      <c r="R24" s="88" t="n"/>
      <c r="S24" s="89" t="n"/>
      <c r="T24" s="89" t="n"/>
      <c r="U24" s="89" t="n"/>
      <c r="V24" s="88" t="n"/>
      <c r="W24" s="89" t="n"/>
      <c r="X24" s="89" t="n"/>
      <c r="Y24" s="89" t="n"/>
      <c r="Z24" s="89" t="n"/>
      <c r="AA24" s="89" t="n"/>
      <c r="AB24" s="89" t="n"/>
      <c r="AC24" s="134" t="n"/>
      <c r="AD24" s="134" t="n"/>
      <c r="AE24" s="134" t="n"/>
      <c r="AF24" s="134" t="n"/>
      <c r="AG24" s="134" t="n"/>
      <c r="AH24" s="134" t="n"/>
      <c r="AI24" s="134" t="n"/>
      <c r="AJ24" s="135" t="n"/>
      <c r="AK24" s="134" t="n"/>
    </row>
    <row r="25" ht="17" customHeight="1">
      <c r="A25" s="80" t="n"/>
      <c r="B25" s="92" t="n"/>
      <c r="C25" s="136" t="n"/>
      <c r="D25" s="94" t="n"/>
      <c r="E25" s="94" t="n"/>
      <c r="F25" s="94" t="n"/>
      <c r="G25" s="95" t="n"/>
      <c r="H25" s="94" t="n"/>
      <c r="I25" s="137" t="n"/>
      <c r="J25" s="138" t="n"/>
      <c r="K25" s="138" t="n"/>
      <c r="L25" s="138" t="n"/>
      <c r="M25" s="139" t="n"/>
      <c r="N25" s="138" t="n"/>
      <c r="O25" s="92" t="n"/>
      <c r="P25" s="94" t="n"/>
      <c r="Q25" s="99" t="n"/>
      <c r="R25" s="99" t="n"/>
      <c r="S25" s="100" t="n"/>
      <c r="T25" s="100" t="n"/>
      <c r="U25" s="100" t="n"/>
      <c r="V25" s="99" t="n"/>
      <c r="W25" s="100" t="n"/>
      <c r="X25" s="100" t="n"/>
      <c r="Y25" s="100" t="n"/>
      <c r="Z25" s="100" t="n"/>
      <c r="AA25" s="100" t="n"/>
      <c r="AB25" s="100" t="n"/>
      <c r="AC25" s="140" t="n"/>
      <c r="AD25" s="140" t="n"/>
      <c r="AE25" s="140" t="n"/>
      <c r="AF25" s="140" t="n"/>
      <c r="AG25" s="140" t="n"/>
      <c r="AH25" s="140" t="n"/>
      <c r="AI25" s="140" t="n"/>
      <c r="AJ25" s="141" t="n"/>
      <c r="AK25" s="140" t="n"/>
    </row>
    <row r="26" ht="17" customHeight="1">
      <c r="A26" s="80" t="n"/>
      <c r="B26" s="81" t="n"/>
      <c r="C26" s="130" t="n"/>
      <c r="D26" s="83" t="n"/>
      <c r="E26" s="83" t="n"/>
      <c r="F26" s="83" t="n"/>
      <c r="G26" s="84" t="n"/>
      <c r="H26" s="83" t="n"/>
      <c r="I26" s="131" t="n"/>
      <c r="J26" s="132" t="n"/>
      <c r="K26" s="132" t="n"/>
      <c r="L26" s="132" t="n"/>
      <c r="M26" s="133" t="n"/>
      <c r="N26" s="132" t="n"/>
      <c r="O26" s="81" t="n"/>
      <c r="P26" s="83" t="n"/>
      <c r="Q26" s="88" t="n"/>
      <c r="R26" s="88" t="n"/>
      <c r="S26" s="89" t="n"/>
      <c r="T26" s="89" t="n"/>
      <c r="U26" s="89" t="n"/>
      <c r="V26" s="88" t="n"/>
      <c r="W26" s="89" t="n"/>
      <c r="X26" s="89" t="n"/>
      <c r="Y26" s="89" t="n"/>
      <c r="Z26" s="89" t="n"/>
      <c r="AA26" s="89" t="n"/>
      <c r="AB26" s="89" t="n"/>
      <c r="AC26" s="134" t="n"/>
      <c r="AD26" s="134" t="n"/>
      <c r="AE26" s="134" t="n"/>
      <c r="AF26" s="134" t="n"/>
      <c r="AG26" s="134" t="n"/>
      <c r="AH26" s="134" t="n"/>
      <c r="AI26" s="134" t="n"/>
      <c r="AJ26" s="135" t="n"/>
      <c r="AK26" s="134" t="n"/>
    </row>
    <row r="27" ht="17" customHeight="1">
      <c r="A27" s="80" t="n"/>
      <c r="B27" s="92" t="n"/>
      <c r="C27" s="136" t="n"/>
      <c r="D27" s="94" t="n"/>
      <c r="E27" s="94" t="n"/>
      <c r="F27" s="94" t="n"/>
      <c r="G27" s="95" t="n"/>
      <c r="H27" s="94" t="n"/>
      <c r="I27" s="137" t="n"/>
      <c r="J27" s="138" t="n"/>
      <c r="K27" s="138" t="n"/>
      <c r="L27" s="138" t="n"/>
      <c r="M27" s="139" t="n"/>
      <c r="N27" s="138" t="n"/>
      <c r="O27" s="92" t="n"/>
      <c r="P27" s="94" t="n"/>
      <c r="Q27" s="99" t="n"/>
      <c r="R27" s="99" t="n"/>
      <c r="S27" s="100" t="n"/>
      <c r="T27" s="100" t="n"/>
      <c r="U27" s="100" t="n"/>
      <c r="V27" s="99" t="n"/>
      <c r="W27" s="100" t="n"/>
      <c r="X27" s="100" t="n"/>
      <c r="Y27" s="100" t="n"/>
      <c r="Z27" s="100" t="n"/>
      <c r="AA27" s="100" t="n"/>
      <c r="AB27" s="100" t="n"/>
      <c r="AC27" s="140" t="n"/>
      <c r="AD27" s="140" t="n"/>
      <c r="AE27" s="140" t="n"/>
      <c r="AF27" s="140" t="n"/>
      <c r="AG27" s="140" t="n"/>
      <c r="AH27" s="140" t="n"/>
      <c r="AI27" s="140" t="n"/>
      <c r="AJ27" s="141" t="n"/>
      <c r="AK27" s="140" t="n"/>
    </row>
    <row r="28" ht="17" customHeight="1">
      <c r="A28" s="80" t="n"/>
      <c r="B28" s="81" t="n"/>
      <c r="C28" s="130" t="n"/>
      <c r="D28" s="83" t="n"/>
      <c r="E28" s="83" t="n"/>
      <c r="F28" s="83" t="n"/>
      <c r="G28" s="84" t="n"/>
      <c r="H28" s="83" t="n"/>
      <c r="I28" s="131" t="n"/>
      <c r="J28" s="132" t="n"/>
      <c r="K28" s="132" t="n"/>
      <c r="L28" s="132" t="n"/>
      <c r="M28" s="133" t="n"/>
      <c r="N28" s="132" t="n"/>
      <c r="O28" s="81" t="n"/>
      <c r="P28" s="83" t="n"/>
      <c r="Q28" s="88" t="n"/>
      <c r="R28" s="88" t="n"/>
      <c r="S28" s="89" t="n"/>
      <c r="T28" s="89" t="n"/>
      <c r="U28" s="89" t="n"/>
      <c r="V28" s="88" t="n"/>
      <c r="W28" s="89" t="n"/>
      <c r="X28" s="89" t="n"/>
      <c r="Y28" s="89" t="n"/>
      <c r="Z28" s="89" t="n"/>
      <c r="AA28" s="89" t="n"/>
      <c r="AB28" s="89" t="n"/>
      <c r="AC28" s="134" t="n"/>
      <c r="AD28" s="134" t="n"/>
      <c r="AE28" s="134" t="n"/>
      <c r="AF28" s="134" t="n"/>
      <c r="AG28" s="134" t="n"/>
      <c r="AH28" s="134" t="n"/>
      <c r="AI28" s="134" t="n"/>
      <c r="AJ28" s="135" t="n"/>
      <c r="AK28" s="134" t="n"/>
    </row>
    <row r="29" ht="17" customHeight="1">
      <c r="A29" s="80" t="n"/>
      <c r="B29" s="92" t="n"/>
      <c r="C29" s="136" t="n"/>
      <c r="D29" s="94" t="n"/>
      <c r="E29" s="94" t="n"/>
      <c r="F29" s="94" t="n"/>
      <c r="G29" s="95" t="n"/>
      <c r="H29" s="94" t="n"/>
      <c r="I29" s="137" t="n"/>
      <c r="J29" s="138" t="n"/>
      <c r="K29" s="138" t="n"/>
      <c r="L29" s="138" t="n"/>
      <c r="M29" s="139" t="n"/>
      <c r="N29" s="138" t="n"/>
      <c r="O29" s="92" t="n"/>
      <c r="P29" s="94" t="n"/>
      <c r="Q29" s="99" t="n"/>
      <c r="R29" s="99" t="n"/>
      <c r="S29" s="100" t="n"/>
      <c r="T29" s="100" t="n"/>
      <c r="U29" s="100" t="n"/>
      <c r="V29" s="99" t="n"/>
      <c r="W29" s="100" t="n"/>
      <c r="X29" s="100" t="n"/>
      <c r="Y29" s="100" t="n"/>
      <c r="Z29" s="100" t="n"/>
      <c r="AA29" s="100" t="n"/>
      <c r="AB29" s="100" t="n"/>
      <c r="AC29" s="140" t="n"/>
      <c r="AD29" s="140" t="n"/>
      <c r="AE29" s="140" t="n"/>
      <c r="AF29" s="140" t="n"/>
      <c r="AG29" s="140" t="n"/>
      <c r="AH29" s="140" t="n"/>
      <c r="AI29" s="140" t="n"/>
      <c r="AJ29" s="141" t="n"/>
      <c r="AK29" s="140" t="n"/>
    </row>
    <row r="30" ht="17" customHeight="1">
      <c r="A30" s="80" t="n"/>
      <c r="B30" s="81" t="n"/>
      <c r="C30" s="130" t="n"/>
      <c r="D30" s="83" t="n"/>
      <c r="E30" s="83" t="n"/>
      <c r="F30" s="83" t="n"/>
      <c r="G30" s="84" t="n"/>
      <c r="H30" s="83" t="n"/>
      <c r="I30" s="131" t="n"/>
      <c r="J30" s="132" t="n"/>
      <c r="K30" s="132" t="n"/>
      <c r="L30" s="132" t="n"/>
      <c r="M30" s="133" t="n"/>
      <c r="N30" s="132" t="n"/>
      <c r="O30" s="81" t="n"/>
      <c r="P30" s="83" t="n"/>
      <c r="Q30" s="88" t="n"/>
      <c r="R30" s="88" t="n"/>
      <c r="S30" s="89" t="n"/>
      <c r="T30" s="89" t="n"/>
      <c r="U30" s="89" t="n"/>
      <c r="V30" s="88" t="n"/>
      <c r="W30" s="89" t="n"/>
      <c r="X30" s="89" t="n"/>
      <c r="Y30" s="89" t="n"/>
      <c r="Z30" s="89" t="n"/>
      <c r="AA30" s="89" t="n"/>
      <c r="AB30" s="89" t="n"/>
      <c r="AC30" s="134" t="n"/>
      <c r="AD30" s="134" t="n"/>
      <c r="AE30" s="134" t="n"/>
      <c r="AF30" s="134" t="n"/>
      <c r="AG30" s="134" t="n"/>
      <c r="AH30" s="134" t="n"/>
      <c r="AI30" s="134" t="n"/>
      <c r="AJ30" s="135" t="n"/>
      <c r="AK30" s="134" t="n"/>
    </row>
    <row r="31" ht="17" customHeight="1">
      <c r="A31" s="80" t="n"/>
      <c r="B31" s="92" t="n"/>
      <c r="C31" s="136" t="n"/>
      <c r="D31" s="94" t="n"/>
      <c r="E31" s="94" t="n"/>
      <c r="F31" s="94" t="n"/>
      <c r="G31" s="95" t="n"/>
      <c r="H31" s="94" t="n"/>
      <c r="I31" s="137" t="n"/>
      <c r="J31" s="138" t="n"/>
      <c r="K31" s="138" t="n"/>
      <c r="L31" s="138" t="n"/>
      <c r="M31" s="139" t="n"/>
      <c r="N31" s="138" t="n"/>
      <c r="O31" s="92" t="n"/>
      <c r="P31" s="94" t="n"/>
      <c r="Q31" s="99" t="n"/>
      <c r="R31" s="99" t="n"/>
      <c r="S31" s="100" t="n"/>
      <c r="T31" s="100" t="n"/>
      <c r="U31" s="100" t="n"/>
      <c r="V31" s="99" t="n"/>
      <c r="W31" s="100" t="n"/>
      <c r="X31" s="100" t="n"/>
      <c r="Y31" s="100" t="n"/>
      <c r="Z31" s="100" t="n"/>
      <c r="AA31" s="100" t="n"/>
      <c r="AB31" s="100" t="n"/>
      <c r="AC31" s="140" t="n"/>
      <c r="AD31" s="140" t="n"/>
      <c r="AE31" s="140" t="n"/>
      <c r="AF31" s="140" t="n"/>
      <c r="AG31" s="140" t="n"/>
      <c r="AH31" s="140" t="n"/>
      <c r="AI31" s="140" t="n"/>
      <c r="AJ31" s="141" t="n"/>
      <c r="AK31" s="140" t="n"/>
    </row>
    <row r="32" ht="17" customHeight="1">
      <c r="A32" s="80" t="n"/>
      <c r="B32" s="81" t="n"/>
      <c r="C32" s="130" t="n"/>
      <c r="D32" s="83" t="n"/>
      <c r="E32" s="83" t="n"/>
      <c r="F32" s="83" t="n"/>
      <c r="G32" s="84" t="n"/>
      <c r="H32" s="83" t="n"/>
      <c r="I32" s="131" t="n"/>
      <c r="J32" s="132" t="n"/>
      <c r="K32" s="132" t="n"/>
      <c r="L32" s="132" t="n"/>
      <c r="M32" s="133" t="n"/>
      <c r="N32" s="132" t="n"/>
      <c r="O32" s="81" t="n"/>
      <c r="P32" s="83" t="n"/>
      <c r="Q32" s="88" t="n"/>
      <c r="R32" s="88" t="n"/>
      <c r="S32" s="89" t="n"/>
      <c r="T32" s="89" t="n"/>
      <c r="U32" s="89" t="n"/>
      <c r="V32" s="88" t="n"/>
      <c r="W32" s="89" t="n"/>
      <c r="X32" s="89" t="n"/>
      <c r="Y32" s="89" t="n"/>
      <c r="Z32" s="89" t="n"/>
      <c r="AA32" s="89" t="n"/>
      <c r="AB32" s="89" t="n"/>
      <c r="AC32" s="134" t="n"/>
      <c r="AD32" s="134" t="n"/>
      <c r="AE32" s="134" t="n"/>
      <c r="AF32" s="134" t="n"/>
      <c r="AG32" s="134" t="n"/>
      <c r="AH32" s="134" t="n"/>
      <c r="AI32" s="134" t="n"/>
      <c r="AJ32" s="135" t="n"/>
      <c r="AK32" s="134" t="n"/>
    </row>
    <row r="33" ht="17" customHeight="1">
      <c r="A33" s="80" t="n"/>
      <c r="B33" s="92" t="n"/>
      <c r="C33" s="136" t="n"/>
      <c r="D33" s="94" t="n"/>
      <c r="E33" s="94" t="n"/>
      <c r="F33" s="94" t="n"/>
      <c r="G33" s="95" t="n"/>
      <c r="H33" s="94" t="n"/>
      <c r="I33" s="137" t="n"/>
      <c r="J33" s="138" t="n"/>
      <c r="K33" s="138" t="n"/>
      <c r="L33" s="138" t="n"/>
      <c r="M33" s="139" t="n"/>
      <c r="N33" s="138" t="n"/>
      <c r="O33" s="92" t="n"/>
      <c r="P33" s="94" t="n"/>
      <c r="Q33" s="99" t="n"/>
      <c r="R33" s="99" t="n"/>
      <c r="S33" s="100" t="n"/>
      <c r="T33" s="100" t="n"/>
      <c r="U33" s="100" t="n"/>
      <c r="V33" s="99" t="n"/>
      <c r="W33" s="100" t="n"/>
      <c r="X33" s="100" t="n"/>
      <c r="Y33" s="100" t="n"/>
      <c r="Z33" s="100" t="n"/>
      <c r="AA33" s="100" t="n"/>
      <c r="AB33" s="100" t="n"/>
      <c r="AC33" s="140" t="n"/>
      <c r="AD33" s="140" t="n"/>
      <c r="AE33" s="140" t="n"/>
      <c r="AF33" s="140" t="n"/>
      <c r="AG33" s="140" t="n"/>
      <c r="AH33" s="140" t="n"/>
      <c r="AI33" s="140" t="n"/>
      <c r="AJ33" s="141" t="n"/>
      <c r="AK33" s="140" t="n"/>
    </row>
    <row r="34" ht="17" customHeight="1">
      <c r="A34" s="80" t="n"/>
      <c r="B34" s="81" t="n"/>
      <c r="C34" s="130" t="n"/>
      <c r="D34" s="83" t="n"/>
      <c r="E34" s="83" t="n"/>
      <c r="F34" s="83" t="n"/>
      <c r="G34" s="84" t="n"/>
      <c r="H34" s="83" t="n"/>
      <c r="I34" s="131" t="n"/>
      <c r="J34" s="132" t="n"/>
      <c r="K34" s="132" t="n"/>
      <c r="L34" s="132" t="n"/>
      <c r="M34" s="133" t="n"/>
      <c r="N34" s="132" t="n"/>
      <c r="O34" s="81" t="n"/>
      <c r="P34" s="83" t="n"/>
      <c r="Q34" s="88" t="n"/>
      <c r="R34" s="88" t="n"/>
      <c r="S34" s="89" t="n"/>
      <c r="T34" s="89" t="n"/>
      <c r="U34" s="89" t="n"/>
      <c r="V34" s="88" t="n"/>
      <c r="W34" s="89" t="n"/>
      <c r="X34" s="89" t="n"/>
      <c r="Y34" s="89" t="n"/>
      <c r="Z34" s="89" t="n"/>
      <c r="AA34" s="89" t="n"/>
      <c r="AB34" s="89" t="n"/>
      <c r="AC34" s="134" t="n"/>
      <c r="AD34" s="134" t="n"/>
      <c r="AE34" s="134" t="n"/>
      <c r="AF34" s="134" t="n"/>
      <c r="AG34" s="134" t="n"/>
      <c r="AH34" s="134" t="n"/>
      <c r="AI34" s="134" t="n"/>
      <c r="AJ34" s="135" t="n"/>
      <c r="AK34" s="134" t="n"/>
    </row>
    <row r="35" ht="17" customHeight="1">
      <c r="A35" s="80" t="n"/>
      <c r="B35" s="92" t="n"/>
      <c r="C35" s="136" t="n"/>
      <c r="D35" s="94" t="n"/>
      <c r="E35" s="94" t="n"/>
      <c r="F35" s="94" t="n"/>
      <c r="G35" s="95" t="n"/>
      <c r="H35" s="94" t="n"/>
      <c r="I35" s="137" t="n"/>
      <c r="J35" s="138" t="n"/>
      <c r="K35" s="138" t="n"/>
      <c r="L35" s="138" t="n"/>
      <c r="M35" s="139" t="n"/>
      <c r="N35" s="138" t="n"/>
      <c r="O35" s="92" t="n"/>
      <c r="P35" s="94" t="n"/>
      <c r="Q35" s="99" t="n"/>
      <c r="R35" s="99" t="n"/>
      <c r="S35" s="100" t="n"/>
      <c r="T35" s="100" t="n"/>
      <c r="U35" s="100" t="n"/>
      <c r="V35" s="99" t="n"/>
      <c r="W35" s="100" t="n"/>
      <c r="X35" s="100" t="n"/>
      <c r="Y35" s="100" t="n"/>
      <c r="Z35" s="100" t="n"/>
      <c r="AA35" s="100" t="n"/>
      <c r="AB35" s="100" t="n"/>
      <c r="AC35" s="140" t="n"/>
      <c r="AD35" s="140" t="n"/>
      <c r="AE35" s="140" t="n"/>
      <c r="AF35" s="140" t="n"/>
      <c r="AG35" s="140" t="n"/>
      <c r="AH35" s="140" t="n"/>
      <c r="AI35" s="140" t="n"/>
      <c r="AJ35" s="141" t="n"/>
      <c r="AK35" s="140" t="n"/>
    </row>
    <row r="36" ht="17" customHeight="1">
      <c r="A36" s="80" t="n"/>
      <c r="B36" s="81" t="n"/>
      <c r="C36" s="130" t="n"/>
      <c r="D36" s="83" t="n"/>
      <c r="E36" s="83" t="n"/>
      <c r="F36" s="83" t="n"/>
      <c r="G36" s="84" t="n"/>
      <c r="H36" s="83" t="n"/>
      <c r="I36" s="131" t="n"/>
      <c r="J36" s="132" t="n"/>
      <c r="K36" s="132" t="n"/>
      <c r="L36" s="132" t="n"/>
      <c r="M36" s="133" t="n"/>
      <c r="N36" s="132" t="n"/>
      <c r="O36" s="81" t="n"/>
      <c r="P36" s="83" t="n"/>
      <c r="Q36" s="88" t="n"/>
      <c r="R36" s="88" t="n"/>
      <c r="S36" s="89" t="n"/>
      <c r="T36" s="89" t="n"/>
      <c r="U36" s="89" t="n"/>
      <c r="V36" s="88" t="n"/>
      <c r="W36" s="89" t="n"/>
      <c r="X36" s="89" t="n"/>
      <c r="Y36" s="89" t="n"/>
      <c r="Z36" s="89" t="n"/>
      <c r="AA36" s="89" t="n"/>
      <c r="AB36" s="89" t="n"/>
      <c r="AC36" s="134" t="n"/>
      <c r="AD36" s="134" t="n"/>
      <c r="AE36" s="134" t="n"/>
      <c r="AF36" s="134" t="n"/>
      <c r="AG36" s="134" t="n"/>
      <c r="AH36" s="134" t="n"/>
      <c r="AI36" s="134" t="n"/>
      <c r="AJ36" s="135" t="n"/>
      <c r="AK36" s="134" t="n"/>
    </row>
    <row r="37" ht="17" customHeight="1">
      <c r="A37" s="80" t="n"/>
      <c r="B37" s="92" t="n"/>
      <c r="C37" s="136" t="n"/>
      <c r="D37" s="94" t="n"/>
      <c r="E37" s="94" t="n"/>
      <c r="F37" s="94" t="n"/>
      <c r="G37" s="95" t="n"/>
      <c r="H37" s="94" t="n"/>
      <c r="I37" s="137" t="n"/>
      <c r="J37" s="138" t="n"/>
      <c r="K37" s="138" t="n"/>
      <c r="L37" s="138" t="n"/>
      <c r="M37" s="139" t="n"/>
      <c r="N37" s="138" t="n"/>
      <c r="O37" s="92" t="n"/>
      <c r="P37" s="94" t="n"/>
      <c r="Q37" s="99" t="n"/>
      <c r="R37" s="99" t="n"/>
      <c r="S37" s="100" t="n"/>
      <c r="T37" s="100" t="n"/>
      <c r="U37" s="100" t="n"/>
      <c r="V37" s="99" t="n"/>
      <c r="W37" s="100" t="n"/>
      <c r="X37" s="100" t="n"/>
      <c r="Y37" s="100" t="n"/>
      <c r="Z37" s="100" t="n"/>
      <c r="AA37" s="100" t="n"/>
      <c r="AB37" s="100" t="n"/>
      <c r="AC37" s="140" t="n"/>
      <c r="AD37" s="140" t="n"/>
      <c r="AE37" s="140" t="n"/>
      <c r="AF37" s="140" t="n"/>
      <c r="AG37" s="140" t="n"/>
      <c r="AH37" s="140" t="n"/>
      <c r="AI37" s="140" t="n"/>
      <c r="AJ37" s="141" t="n"/>
      <c r="AK37" s="140" t="n"/>
    </row>
    <row r="38" ht="17" customHeight="1">
      <c r="A38" s="80" t="n"/>
      <c r="B38" s="81" t="n"/>
      <c r="C38" s="130" t="n"/>
      <c r="D38" s="83" t="n"/>
      <c r="E38" s="83" t="n"/>
      <c r="F38" s="83" t="n"/>
      <c r="G38" s="84" t="n"/>
      <c r="H38" s="83" t="n"/>
      <c r="I38" s="131" t="n"/>
      <c r="J38" s="132" t="n"/>
      <c r="K38" s="132" t="n"/>
      <c r="L38" s="132" t="n"/>
      <c r="M38" s="133" t="n"/>
      <c r="N38" s="132" t="n"/>
      <c r="O38" s="81" t="n"/>
      <c r="P38" s="83" t="n"/>
      <c r="Q38" s="88" t="n"/>
      <c r="R38" s="88" t="n"/>
      <c r="S38" s="89" t="n"/>
      <c r="T38" s="89" t="n"/>
      <c r="U38" s="89" t="n"/>
      <c r="V38" s="88" t="n"/>
      <c r="W38" s="89" t="n"/>
      <c r="X38" s="89" t="n"/>
      <c r="Y38" s="89" t="n"/>
      <c r="Z38" s="89" t="n"/>
      <c r="AA38" s="89" t="n"/>
      <c r="AB38" s="89" t="n"/>
      <c r="AC38" s="134" t="n"/>
      <c r="AD38" s="134" t="n"/>
      <c r="AE38" s="134" t="n"/>
      <c r="AF38" s="134" t="n"/>
      <c r="AG38" s="134" t="n"/>
      <c r="AH38" s="134" t="n"/>
      <c r="AI38" s="134" t="n"/>
      <c r="AJ38" s="135" t="n"/>
      <c r="AK38" s="134" t="n"/>
    </row>
    <row r="39" ht="17" customHeight="1">
      <c r="A39" s="80" t="n"/>
      <c r="B39" s="92" t="n"/>
      <c r="C39" s="136" t="n"/>
      <c r="D39" s="94" t="n"/>
      <c r="E39" s="94" t="n"/>
      <c r="F39" s="94" t="n"/>
      <c r="G39" s="95" t="n"/>
      <c r="H39" s="94" t="n"/>
      <c r="I39" s="137" t="n"/>
      <c r="J39" s="138" t="n"/>
      <c r="K39" s="138" t="n"/>
      <c r="L39" s="138" t="n"/>
      <c r="M39" s="139" t="n"/>
      <c r="N39" s="138" t="n"/>
      <c r="O39" s="92" t="n"/>
      <c r="P39" s="94" t="n"/>
      <c r="Q39" s="99" t="n"/>
      <c r="R39" s="99" t="n"/>
      <c r="S39" s="100" t="n"/>
      <c r="T39" s="100" t="n"/>
      <c r="U39" s="100" t="n"/>
      <c r="V39" s="99" t="n"/>
      <c r="W39" s="100" t="n"/>
      <c r="X39" s="100" t="n"/>
      <c r="Y39" s="100" t="n"/>
      <c r="Z39" s="100" t="n"/>
      <c r="AA39" s="100" t="n"/>
      <c r="AB39" s="100" t="n"/>
      <c r="AC39" s="140" t="n"/>
      <c r="AD39" s="140" t="n"/>
      <c r="AE39" s="140" t="n"/>
      <c r="AF39" s="140" t="n"/>
      <c r="AG39" s="140" t="n"/>
      <c r="AH39" s="140" t="n"/>
      <c r="AI39" s="140" t="n"/>
      <c r="AJ39" s="141" t="n"/>
      <c r="AK39" s="140" t="n"/>
    </row>
    <row r="40" ht="17" customHeight="1">
      <c r="A40" s="80" t="n"/>
      <c r="B40" s="81" t="n"/>
      <c r="C40" s="130" t="n"/>
      <c r="D40" s="83" t="n"/>
      <c r="E40" s="83" t="n"/>
      <c r="F40" s="83" t="n"/>
      <c r="G40" s="84" t="n"/>
      <c r="H40" s="83" t="n"/>
      <c r="I40" s="131" t="n"/>
      <c r="J40" s="132" t="n"/>
      <c r="K40" s="132" t="n"/>
      <c r="L40" s="132" t="n"/>
      <c r="M40" s="133" t="n"/>
      <c r="N40" s="132" t="n"/>
      <c r="O40" s="81" t="n"/>
      <c r="P40" s="83" t="n"/>
      <c r="Q40" s="88" t="n"/>
      <c r="R40" s="88" t="n"/>
      <c r="S40" s="89" t="n"/>
      <c r="T40" s="89" t="n"/>
      <c r="U40" s="89" t="n"/>
      <c r="V40" s="88" t="n"/>
      <c r="W40" s="89" t="n"/>
      <c r="X40" s="89" t="n"/>
      <c r="Y40" s="89" t="n"/>
      <c r="Z40" s="89" t="n"/>
      <c r="AA40" s="89" t="n"/>
      <c r="AB40" s="89" t="n"/>
      <c r="AC40" s="134" t="n"/>
      <c r="AD40" s="134" t="n"/>
      <c r="AE40" s="134" t="n"/>
      <c r="AF40" s="134" t="n"/>
      <c r="AG40" s="134" t="n"/>
      <c r="AH40" s="134" t="n"/>
      <c r="AI40" s="134" t="n"/>
      <c r="AJ40" s="135" t="n"/>
      <c r="AK40" s="134" t="n"/>
    </row>
    <row r="41" ht="17" customHeight="1">
      <c r="A41" s="80" t="n"/>
      <c r="B41" s="92" t="n"/>
      <c r="C41" s="136" t="n"/>
      <c r="D41" s="94" t="n"/>
      <c r="E41" s="94" t="n"/>
      <c r="F41" s="94" t="n"/>
      <c r="G41" s="95" t="n"/>
      <c r="H41" s="94" t="n"/>
      <c r="I41" s="137" t="n"/>
      <c r="J41" s="138" t="n"/>
      <c r="K41" s="138" t="n"/>
      <c r="L41" s="138" t="n"/>
      <c r="M41" s="139" t="n"/>
      <c r="N41" s="138" t="n"/>
      <c r="O41" s="92" t="n"/>
      <c r="P41" s="94" t="n"/>
      <c r="Q41" s="99" t="n"/>
      <c r="R41" s="99" t="n"/>
      <c r="S41" s="100" t="n"/>
      <c r="T41" s="100" t="n"/>
      <c r="U41" s="100" t="n"/>
      <c r="V41" s="99" t="n"/>
      <c r="W41" s="100" t="n"/>
      <c r="X41" s="100" t="n"/>
      <c r="Y41" s="100" t="n"/>
      <c r="Z41" s="100" t="n"/>
      <c r="AA41" s="100" t="n"/>
      <c r="AB41" s="100" t="n"/>
      <c r="AC41" s="140" t="n"/>
      <c r="AD41" s="140" t="n"/>
      <c r="AE41" s="140" t="n"/>
      <c r="AF41" s="140" t="n"/>
      <c r="AG41" s="140" t="n"/>
      <c r="AH41" s="140" t="n"/>
      <c r="AI41" s="140" t="n"/>
      <c r="AJ41" s="141" t="n"/>
      <c r="AK41" s="140" t="n"/>
    </row>
    <row r="42" ht="17" customHeight="1">
      <c r="A42" s="80" t="n"/>
      <c r="B42" s="81" t="n"/>
      <c r="C42" s="130" t="n"/>
      <c r="D42" s="83" t="n"/>
      <c r="E42" s="83" t="n"/>
      <c r="F42" s="83" t="n"/>
      <c r="G42" s="84" t="n"/>
      <c r="H42" s="83" t="n"/>
      <c r="I42" s="131" t="n"/>
      <c r="J42" s="132" t="n"/>
      <c r="K42" s="132" t="n"/>
      <c r="L42" s="132" t="n"/>
      <c r="M42" s="133" t="n"/>
      <c r="N42" s="132" t="n"/>
      <c r="O42" s="81" t="n"/>
      <c r="P42" s="83" t="n"/>
      <c r="Q42" s="88" t="n"/>
      <c r="R42" s="88" t="n"/>
      <c r="S42" s="89" t="n"/>
      <c r="T42" s="89" t="n"/>
      <c r="U42" s="89" t="n"/>
      <c r="V42" s="88" t="n"/>
      <c r="W42" s="89" t="n"/>
      <c r="X42" s="89" t="n"/>
      <c r="Y42" s="89" t="n"/>
      <c r="Z42" s="89" t="n"/>
      <c r="AA42" s="89" t="n"/>
      <c r="AB42" s="89" t="n"/>
      <c r="AC42" s="134" t="n"/>
      <c r="AD42" s="134" t="n"/>
      <c r="AE42" s="134" t="n"/>
      <c r="AF42" s="134" t="n"/>
      <c r="AG42" s="134" t="n"/>
      <c r="AH42" s="134" t="n"/>
      <c r="AI42" s="134" t="n"/>
      <c r="AJ42" s="135" t="n"/>
      <c r="AK42" s="134" t="n"/>
    </row>
    <row r="43" ht="17" customHeight="1">
      <c r="A43" s="80" t="n"/>
      <c r="B43" s="92" t="n"/>
      <c r="C43" s="136" t="n"/>
      <c r="D43" s="94" t="n"/>
      <c r="E43" s="94" t="n"/>
      <c r="F43" s="94" t="n"/>
      <c r="G43" s="95" t="n"/>
      <c r="H43" s="94" t="n"/>
      <c r="I43" s="137" t="n"/>
      <c r="J43" s="138" t="n"/>
      <c r="K43" s="138" t="n"/>
      <c r="L43" s="138" t="n"/>
      <c r="M43" s="139" t="n"/>
      <c r="N43" s="138" t="n"/>
      <c r="O43" s="92" t="n"/>
      <c r="P43" s="94" t="n"/>
      <c r="Q43" s="99" t="n"/>
      <c r="R43" s="99" t="n"/>
      <c r="S43" s="100" t="n"/>
      <c r="T43" s="100" t="n"/>
      <c r="U43" s="100" t="n"/>
      <c r="V43" s="99" t="n"/>
      <c r="W43" s="100" t="n"/>
      <c r="X43" s="100" t="n"/>
      <c r="Y43" s="100" t="n"/>
      <c r="Z43" s="100" t="n"/>
      <c r="AA43" s="100" t="n"/>
      <c r="AB43" s="100" t="n"/>
      <c r="AC43" s="140" t="n"/>
      <c r="AD43" s="140" t="n"/>
      <c r="AE43" s="140" t="n"/>
      <c r="AF43" s="140" t="n"/>
      <c r="AG43" s="140" t="n"/>
      <c r="AH43" s="140" t="n"/>
      <c r="AI43" s="140" t="n"/>
      <c r="AJ43" s="141" t="n"/>
      <c r="AK43" s="140" t="n"/>
    </row>
    <row r="44" ht="17" customHeight="1">
      <c r="A44" s="80" t="n"/>
      <c r="B44" s="81" t="n"/>
      <c r="C44" s="130" t="n"/>
      <c r="D44" s="83" t="n"/>
      <c r="E44" s="83" t="n"/>
      <c r="F44" s="83" t="n"/>
      <c r="G44" s="84" t="n"/>
      <c r="H44" s="83" t="n"/>
      <c r="I44" s="131" t="n"/>
      <c r="J44" s="132" t="n"/>
      <c r="K44" s="132" t="n"/>
      <c r="L44" s="132" t="n"/>
      <c r="M44" s="133" t="n"/>
      <c r="N44" s="132" t="n"/>
      <c r="O44" s="81" t="n"/>
      <c r="P44" s="83" t="n"/>
      <c r="Q44" s="88" t="n"/>
      <c r="R44" s="88" t="n"/>
      <c r="S44" s="89" t="n"/>
      <c r="T44" s="89" t="n"/>
      <c r="U44" s="89" t="n"/>
      <c r="V44" s="88" t="n"/>
      <c r="W44" s="89" t="n"/>
      <c r="X44" s="89" t="n"/>
      <c r="Y44" s="89" t="n"/>
      <c r="Z44" s="89" t="n"/>
      <c r="AA44" s="89" t="n"/>
      <c r="AB44" s="89" t="n"/>
      <c r="AC44" s="134" t="n"/>
      <c r="AD44" s="134" t="n"/>
      <c r="AE44" s="134" t="n"/>
      <c r="AF44" s="134" t="n"/>
      <c r="AG44" s="134" t="n"/>
      <c r="AH44" s="134" t="n"/>
      <c r="AI44" s="134" t="n"/>
      <c r="AJ44" s="135" t="n"/>
      <c r="AK44" s="134" t="n"/>
    </row>
    <row r="45" ht="17" customHeight="1">
      <c r="A45" s="80" t="n"/>
      <c r="B45" s="92" t="n"/>
      <c r="C45" s="136" t="n"/>
      <c r="D45" s="94" t="n"/>
      <c r="E45" s="94" t="n"/>
      <c r="F45" s="94" t="n"/>
      <c r="G45" s="95" t="n"/>
      <c r="H45" s="94" t="n"/>
      <c r="I45" s="137" t="n"/>
      <c r="J45" s="138" t="n"/>
      <c r="K45" s="138" t="n"/>
      <c r="L45" s="138" t="n"/>
      <c r="M45" s="139" t="n"/>
      <c r="N45" s="138" t="n"/>
      <c r="O45" s="92" t="n"/>
      <c r="P45" s="94" t="n"/>
      <c r="Q45" s="99" t="n"/>
      <c r="R45" s="99" t="n"/>
      <c r="S45" s="100" t="n"/>
      <c r="T45" s="100" t="n"/>
      <c r="U45" s="100" t="n"/>
      <c r="V45" s="99" t="n"/>
      <c r="W45" s="100" t="n"/>
      <c r="X45" s="100" t="n"/>
      <c r="Y45" s="100" t="n"/>
      <c r="Z45" s="100" t="n"/>
      <c r="AA45" s="100" t="n"/>
      <c r="AB45" s="100" t="n"/>
      <c r="AC45" s="140" t="n"/>
      <c r="AD45" s="140" t="n"/>
      <c r="AE45" s="140" t="n"/>
      <c r="AF45" s="140" t="n"/>
      <c r="AG45" s="140" t="n"/>
      <c r="AH45" s="140" t="n"/>
      <c r="AI45" s="140" t="n"/>
      <c r="AJ45" s="141" t="n"/>
      <c r="AK45" s="140" t="n"/>
    </row>
    <row r="46" ht="17" customHeight="1">
      <c r="A46" s="80" t="n"/>
      <c r="B46" s="81" t="n"/>
      <c r="C46" s="130" t="n"/>
      <c r="D46" s="83" t="n"/>
      <c r="E46" s="83" t="n"/>
      <c r="F46" s="83" t="n"/>
      <c r="G46" s="84" t="n"/>
      <c r="H46" s="83" t="n"/>
      <c r="I46" s="131" t="n"/>
      <c r="J46" s="132" t="n"/>
      <c r="K46" s="132" t="n"/>
      <c r="L46" s="132" t="n"/>
      <c r="M46" s="133" t="n"/>
      <c r="N46" s="132" t="n"/>
      <c r="O46" s="81" t="n"/>
      <c r="P46" s="83" t="n"/>
      <c r="Q46" s="88" t="n"/>
      <c r="R46" s="88" t="n"/>
      <c r="S46" s="89" t="n"/>
      <c r="T46" s="89" t="n"/>
      <c r="U46" s="89" t="n"/>
      <c r="V46" s="88" t="n"/>
      <c r="W46" s="89" t="n"/>
      <c r="X46" s="89" t="n"/>
      <c r="Y46" s="89" t="n"/>
      <c r="Z46" s="89" t="n"/>
      <c r="AA46" s="89" t="n"/>
      <c r="AB46" s="89" t="n"/>
      <c r="AC46" s="134" t="n"/>
      <c r="AD46" s="134" t="n"/>
      <c r="AE46" s="134" t="n"/>
      <c r="AF46" s="134" t="n"/>
      <c r="AG46" s="134" t="n"/>
      <c r="AH46" s="134" t="n"/>
      <c r="AI46" s="134" t="n"/>
      <c r="AJ46" s="135" t="n"/>
      <c r="AK46" s="134" t="n"/>
    </row>
    <row r="47" ht="17" customHeight="1">
      <c r="A47" s="80" t="n"/>
      <c r="B47" s="92" t="n"/>
      <c r="C47" s="136" t="n"/>
      <c r="D47" s="94" t="n"/>
      <c r="E47" s="94" t="n"/>
      <c r="F47" s="94" t="n"/>
      <c r="G47" s="95" t="n"/>
      <c r="H47" s="94" t="n"/>
      <c r="I47" s="137" t="n"/>
      <c r="J47" s="138" t="n"/>
      <c r="K47" s="138" t="n"/>
      <c r="L47" s="138" t="n"/>
      <c r="M47" s="139" t="n"/>
      <c r="N47" s="138" t="n"/>
      <c r="O47" s="92" t="n"/>
      <c r="P47" s="94" t="n"/>
      <c r="Q47" s="99" t="n"/>
      <c r="R47" s="99" t="n"/>
      <c r="S47" s="100" t="n"/>
      <c r="T47" s="100" t="n"/>
      <c r="U47" s="100" t="n"/>
      <c r="V47" s="99" t="n"/>
      <c r="W47" s="100" t="n"/>
      <c r="X47" s="100" t="n"/>
      <c r="Y47" s="100" t="n"/>
      <c r="Z47" s="100" t="n"/>
      <c r="AA47" s="100" t="n"/>
      <c r="AB47" s="100" t="n"/>
      <c r="AC47" s="140" t="n"/>
      <c r="AD47" s="140" t="n"/>
      <c r="AE47" s="140" t="n"/>
      <c r="AF47" s="140" t="n"/>
      <c r="AG47" s="140" t="n"/>
      <c r="AH47" s="140" t="n"/>
      <c r="AI47" s="140" t="n"/>
      <c r="AJ47" s="141" t="n"/>
      <c r="AK47" s="140" t="n"/>
    </row>
    <row r="48" ht="17" customHeight="1">
      <c r="A48" s="80" t="n"/>
      <c r="B48" s="81" t="n"/>
      <c r="C48" s="130" t="n"/>
      <c r="D48" s="83" t="n"/>
      <c r="E48" s="83" t="n"/>
      <c r="F48" s="83" t="n"/>
      <c r="G48" s="84" t="n"/>
      <c r="H48" s="83" t="n"/>
      <c r="I48" s="131" t="n"/>
      <c r="J48" s="132" t="n"/>
      <c r="K48" s="132" t="n"/>
      <c r="L48" s="132" t="n"/>
      <c r="M48" s="133" t="n"/>
      <c r="N48" s="132" t="n"/>
      <c r="O48" s="81" t="n"/>
      <c r="P48" s="83" t="n"/>
      <c r="Q48" s="88" t="n"/>
      <c r="R48" s="88" t="n"/>
      <c r="S48" s="89" t="n"/>
      <c r="T48" s="89" t="n"/>
      <c r="U48" s="89" t="n"/>
      <c r="V48" s="88" t="n"/>
      <c r="W48" s="89" t="n"/>
      <c r="X48" s="89" t="n"/>
      <c r="Y48" s="89" t="n"/>
      <c r="Z48" s="89" t="n"/>
      <c r="AA48" s="89" t="n"/>
      <c r="AB48" s="89" t="n"/>
      <c r="AC48" s="134" t="n"/>
      <c r="AD48" s="134" t="n"/>
      <c r="AE48" s="134" t="n"/>
      <c r="AF48" s="134" t="n"/>
      <c r="AG48" s="134" t="n"/>
      <c r="AH48" s="134" t="n"/>
      <c r="AI48" s="134" t="n"/>
      <c r="AJ48" s="135" t="n"/>
      <c r="AK48" s="134" t="n"/>
    </row>
    <row r="49" ht="17" customHeight="1">
      <c r="A49" s="80" t="n"/>
      <c r="B49" s="92" t="n"/>
      <c r="C49" s="136" t="n"/>
      <c r="D49" s="94" t="n"/>
      <c r="E49" s="94" t="n"/>
      <c r="F49" s="94" t="n"/>
      <c r="G49" s="95" t="n"/>
      <c r="H49" s="94" t="n"/>
      <c r="I49" s="137" t="n"/>
      <c r="J49" s="138" t="n"/>
      <c r="K49" s="138" t="n"/>
      <c r="L49" s="138" t="n"/>
      <c r="M49" s="139" t="n"/>
      <c r="N49" s="138" t="n"/>
      <c r="O49" s="92" t="n"/>
      <c r="P49" s="94" t="n"/>
      <c r="Q49" s="99" t="n"/>
      <c r="R49" s="99" t="n"/>
      <c r="S49" s="100" t="n"/>
      <c r="T49" s="100" t="n"/>
      <c r="U49" s="100" t="n"/>
      <c r="V49" s="99" t="n"/>
      <c r="W49" s="100" t="n"/>
      <c r="X49" s="100" t="n"/>
      <c r="Y49" s="100" t="n"/>
      <c r="Z49" s="100" t="n"/>
      <c r="AA49" s="100" t="n"/>
      <c r="AB49" s="100" t="n"/>
      <c r="AC49" s="140" t="n"/>
      <c r="AD49" s="140" t="n"/>
      <c r="AE49" s="140" t="n"/>
      <c r="AF49" s="140" t="n"/>
      <c r="AG49" s="140" t="n"/>
      <c r="AH49" s="140" t="n"/>
      <c r="AI49" s="140" t="n"/>
      <c r="AJ49" s="141" t="n"/>
      <c r="AK49" s="140" t="n"/>
    </row>
    <row r="50" ht="17" customHeight="1">
      <c r="A50" s="80" t="n"/>
      <c r="B50" s="81" t="n"/>
      <c r="C50" s="130" t="n"/>
      <c r="D50" s="83" t="n"/>
      <c r="E50" s="83" t="n"/>
      <c r="F50" s="83" t="n"/>
      <c r="G50" s="84" t="n"/>
      <c r="H50" s="83" t="n"/>
      <c r="I50" s="131" t="n"/>
      <c r="J50" s="132" t="n"/>
      <c r="K50" s="132" t="n"/>
      <c r="L50" s="132" t="n"/>
      <c r="M50" s="133" t="n"/>
      <c r="N50" s="132" t="n"/>
      <c r="O50" s="81" t="n"/>
      <c r="P50" s="83" t="n"/>
      <c r="Q50" s="88" t="n"/>
      <c r="R50" s="88" t="n"/>
      <c r="S50" s="89" t="n"/>
      <c r="T50" s="89" t="n"/>
      <c r="U50" s="89" t="n"/>
      <c r="V50" s="88" t="n"/>
      <c r="W50" s="89" t="n"/>
      <c r="X50" s="89" t="n"/>
      <c r="Y50" s="89" t="n"/>
      <c r="Z50" s="89" t="n"/>
      <c r="AA50" s="89" t="n"/>
      <c r="AB50" s="89" t="n"/>
      <c r="AC50" s="134" t="n"/>
      <c r="AD50" s="134" t="n"/>
      <c r="AE50" s="134" t="n"/>
      <c r="AF50" s="134" t="n"/>
      <c r="AG50" s="134" t="n"/>
      <c r="AH50" s="134" t="n"/>
      <c r="AI50" s="134" t="n"/>
      <c r="AJ50" s="135" t="n"/>
      <c r="AK50" s="134" t="n"/>
    </row>
    <row r="51" ht="17" customHeight="1">
      <c r="A51" s="80" t="n"/>
      <c r="B51" s="92" t="n"/>
      <c r="C51" s="136" t="n"/>
      <c r="D51" s="94" t="n"/>
      <c r="E51" s="94" t="n"/>
      <c r="F51" s="94" t="n"/>
      <c r="G51" s="95" t="n"/>
      <c r="H51" s="94" t="n"/>
      <c r="I51" s="137" t="n"/>
      <c r="J51" s="138" t="n"/>
      <c r="K51" s="138" t="n"/>
      <c r="L51" s="138" t="n"/>
      <c r="M51" s="139" t="n"/>
      <c r="N51" s="138" t="n"/>
      <c r="O51" s="92" t="n"/>
      <c r="P51" s="94" t="n"/>
      <c r="Q51" s="99" t="n"/>
      <c r="R51" s="99" t="n"/>
      <c r="S51" s="100" t="n"/>
      <c r="T51" s="100" t="n"/>
      <c r="U51" s="100" t="n"/>
      <c r="V51" s="99" t="n"/>
      <c r="W51" s="100" t="n"/>
      <c r="X51" s="100" t="n"/>
      <c r="Y51" s="100" t="n"/>
      <c r="Z51" s="100" t="n"/>
      <c r="AA51" s="100" t="n"/>
      <c r="AB51" s="100" t="n"/>
      <c r="AC51" s="140" t="n"/>
      <c r="AD51" s="140" t="n"/>
      <c r="AE51" s="140" t="n"/>
      <c r="AF51" s="140" t="n"/>
      <c r="AG51" s="140" t="n"/>
      <c r="AH51" s="140" t="n"/>
      <c r="AI51" s="140" t="n"/>
      <c r="AJ51" s="141" t="n"/>
      <c r="AK51" s="140" t="n"/>
    </row>
    <row r="52" ht="17" customHeight="1">
      <c r="A52" s="80" t="n"/>
      <c r="B52" s="81" t="n"/>
      <c r="C52" s="130" t="n"/>
      <c r="D52" s="83" t="n"/>
      <c r="E52" s="83" t="n"/>
      <c r="F52" s="83" t="n"/>
      <c r="G52" s="84" t="n"/>
      <c r="H52" s="83" t="n"/>
      <c r="I52" s="131" t="n"/>
      <c r="J52" s="132" t="n"/>
      <c r="K52" s="132" t="n"/>
      <c r="L52" s="132" t="n"/>
      <c r="M52" s="133" t="n"/>
      <c r="N52" s="132" t="n"/>
      <c r="O52" s="81" t="n"/>
      <c r="P52" s="83" t="n"/>
      <c r="Q52" s="88" t="n"/>
      <c r="R52" s="88" t="n"/>
      <c r="S52" s="89" t="n"/>
      <c r="T52" s="89" t="n"/>
      <c r="U52" s="89" t="n"/>
      <c r="V52" s="88" t="n"/>
      <c r="W52" s="89" t="n"/>
      <c r="X52" s="89" t="n"/>
      <c r="Y52" s="89" t="n"/>
      <c r="Z52" s="89" t="n"/>
      <c r="AA52" s="89" t="n"/>
      <c r="AB52" s="89" t="n"/>
      <c r="AC52" s="134" t="n"/>
      <c r="AD52" s="134" t="n"/>
      <c r="AE52" s="134" t="n"/>
      <c r="AF52" s="134" t="n"/>
      <c r="AG52" s="134" t="n"/>
      <c r="AH52" s="134" t="n"/>
      <c r="AI52" s="134" t="n"/>
      <c r="AJ52" s="135" t="n"/>
      <c r="AK52" s="134" t="n"/>
    </row>
    <row r="53" ht="17" customHeight="1">
      <c r="A53" s="80" t="n"/>
      <c r="B53" s="92" t="n"/>
      <c r="C53" s="136" t="n"/>
      <c r="D53" s="94" t="n"/>
      <c r="E53" s="94" t="n"/>
      <c r="F53" s="94" t="n"/>
      <c r="G53" s="95" t="n"/>
      <c r="H53" s="94" t="n"/>
      <c r="I53" s="137" t="n"/>
      <c r="J53" s="138" t="n"/>
      <c r="K53" s="138" t="n"/>
      <c r="L53" s="138" t="n"/>
      <c r="M53" s="139" t="n"/>
      <c r="N53" s="138" t="n"/>
      <c r="O53" s="92" t="n"/>
      <c r="P53" s="94" t="n"/>
      <c r="Q53" s="99" t="n"/>
      <c r="R53" s="99" t="n"/>
      <c r="S53" s="100" t="n"/>
      <c r="T53" s="100" t="n"/>
      <c r="U53" s="100" t="n"/>
      <c r="V53" s="99" t="n"/>
      <c r="W53" s="100" t="n"/>
      <c r="X53" s="100" t="n"/>
      <c r="Y53" s="100" t="n"/>
      <c r="Z53" s="100" t="n"/>
      <c r="AA53" s="100" t="n"/>
      <c r="AB53" s="100" t="n"/>
      <c r="AC53" s="140" t="n"/>
      <c r="AD53" s="140" t="n"/>
      <c r="AE53" s="140" t="n"/>
      <c r="AF53" s="140" t="n"/>
      <c r="AG53" s="140" t="n"/>
      <c r="AH53" s="140" t="n"/>
      <c r="AI53" s="140" t="n"/>
      <c r="AJ53" s="141" t="n"/>
      <c r="AK53" s="140" t="n"/>
    </row>
    <row r="54" ht="17" customHeight="1">
      <c r="A54" s="80" t="n"/>
      <c r="B54" s="81" t="n"/>
      <c r="C54" s="130" t="n"/>
      <c r="D54" s="83" t="n"/>
      <c r="E54" s="83" t="n"/>
      <c r="F54" s="83" t="n"/>
      <c r="G54" s="84" t="n"/>
      <c r="H54" s="83" t="n"/>
      <c r="I54" s="131" t="n"/>
      <c r="J54" s="132" t="n"/>
      <c r="K54" s="132" t="n"/>
      <c r="L54" s="132" t="n"/>
      <c r="M54" s="133" t="n"/>
      <c r="N54" s="132" t="n"/>
      <c r="O54" s="81" t="n"/>
      <c r="P54" s="83" t="n"/>
      <c r="Q54" s="88" t="n"/>
      <c r="R54" s="88" t="n"/>
      <c r="S54" s="89" t="n"/>
      <c r="T54" s="89" t="n"/>
      <c r="U54" s="89" t="n"/>
      <c r="V54" s="88" t="n"/>
      <c r="W54" s="89" t="n"/>
      <c r="X54" s="89" t="n"/>
      <c r="Y54" s="89" t="n"/>
      <c r="Z54" s="89" t="n"/>
      <c r="AA54" s="89" t="n"/>
      <c r="AB54" s="89" t="n"/>
      <c r="AC54" s="134" t="n"/>
      <c r="AD54" s="134" t="n"/>
      <c r="AE54" s="134" t="n"/>
      <c r="AF54" s="134" t="n"/>
      <c r="AG54" s="134" t="n"/>
      <c r="AH54" s="134" t="n"/>
      <c r="AI54" s="134" t="n"/>
      <c r="AJ54" s="135" t="n"/>
      <c r="AK54" s="134" t="n"/>
    </row>
    <row r="55" ht="17" customHeight="1">
      <c r="A55" s="80" t="n"/>
      <c r="B55" s="92" t="n"/>
      <c r="C55" s="136" t="n"/>
      <c r="D55" s="94" t="n"/>
      <c r="E55" s="94" t="n"/>
      <c r="F55" s="94" t="n"/>
      <c r="G55" s="95" t="n"/>
      <c r="H55" s="94" t="n"/>
      <c r="I55" s="137" t="n"/>
      <c r="J55" s="138" t="n"/>
      <c r="K55" s="138" t="n"/>
      <c r="L55" s="138" t="n"/>
      <c r="M55" s="139" t="n"/>
      <c r="N55" s="138" t="n"/>
      <c r="O55" s="92" t="n"/>
      <c r="P55" s="94" t="n"/>
      <c r="Q55" s="99" t="n"/>
      <c r="R55" s="99" t="n"/>
      <c r="S55" s="100" t="n"/>
      <c r="T55" s="100" t="n"/>
      <c r="U55" s="100" t="n"/>
      <c r="V55" s="99" t="n"/>
      <c r="W55" s="100" t="n"/>
      <c r="X55" s="100" t="n"/>
      <c r="Y55" s="100" t="n"/>
      <c r="Z55" s="100" t="n"/>
      <c r="AA55" s="100" t="n"/>
      <c r="AB55" s="100" t="n"/>
      <c r="AC55" s="140" t="n"/>
      <c r="AD55" s="140" t="n"/>
      <c r="AE55" s="140" t="n"/>
      <c r="AF55" s="140" t="n"/>
      <c r="AG55" s="140" t="n"/>
      <c r="AH55" s="140" t="n"/>
      <c r="AI55" s="140" t="n"/>
      <c r="AJ55" s="141" t="n"/>
      <c r="AK55" s="140" t="n"/>
    </row>
    <row r="56" ht="17" customHeight="1">
      <c r="A56" s="80" t="n"/>
      <c r="B56" s="81" t="n"/>
      <c r="C56" s="130" t="n"/>
      <c r="D56" s="83" t="n"/>
      <c r="E56" s="83" t="n"/>
      <c r="F56" s="83" t="n"/>
      <c r="G56" s="84" t="n"/>
      <c r="H56" s="83" t="n"/>
      <c r="I56" s="131" t="n"/>
      <c r="J56" s="132" t="n"/>
      <c r="K56" s="132" t="n"/>
      <c r="L56" s="132" t="n"/>
      <c r="M56" s="133" t="n"/>
      <c r="N56" s="132" t="n"/>
      <c r="O56" s="81" t="n"/>
      <c r="P56" s="83" t="n"/>
      <c r="Q56" s="88" t="n"/>
      <c r="R56" s="88" t="n"/>
      <c r="S56" s="89" t="n"/>
      <c r="T56" s="89" t="n"/>
      <c r="U56" s="89" t="n"/>
      <c r="V56" s="88" t="n"/>
      <c r="W56" s="89" t="n"/>
      <c r="X56" s="89" t="n"/>
      <c r="Y56" s="89" t="n"/>
      <c r="Z56" s="89" t="n"/>
      <c r="AA56" s="89" t="n"/>
      <c r="AB56" s="89" t="n"/>
      <c r="AC56" s="134" t="n"/>
      <c r="AD56" s="134" t="n"/>
      <c r="AE56" s="134" t="n"/>
      <c r="AF56" s="134" t="n"/>
      <c r="AG56" s="134" t="n"/>
      <c r="AH56" s="134" t="n"/>
      <c r="AI56" s="134" t="n"/>
      <c r="AJ56" s="135" t="n"/>
      <c r="AK56" s="134" t="n"/>
    </row>
    <row r="57" ht="17" customHeight="1">
      <c r="A57" s="80" t="n"/>
      <c r="B57" s="92" t="n"/>
      <c r="C57" s="136" t="n"/>
      <c r="D57" s="94" t="n"/>
      <c r="E57" s="94" t="n"/>
      <c r="F57" s="94" t="n"/>
      <c r="G57" s="95" t="n"/>
      <c r="H57" s="94" t="n"/>
      <c r="I57" s="137" t="n"/>
      <c r="J57" s="138" t="n"/>
      <c r="K57" s="138" t="n"/>
      <c r="L57" s="138" t="n"/>
      <c r="M57" s="139" t="n"/>
      <c r="N57" s="138" t="n"/>
      <c r="O57" s="92" t="n"/>
      <c r="P57" s="94" t="n"/>
      <c r="Q57" s="99" t="n"/>
      <c r="R57" s="99" t="n"/>
      <c r="S57" s="100" t="n"/>
      <c r="T57" s="100" t="n"/>
      <c r="U57" s="100" t="n"/>
      <c r="V57" s="99" t="n"/>
      <c r="W57" s="100" t="n"/>
      <c r="X57" s="100" t="n"/>
      <c r="Y57" s="100" t="n"/>
      <c r="Z57" s="100" t="n"/>
      <c r="AA57" s="100" t="n"/>
      <c r="AB57" s="100" t="n"/>
      <c r="AC57" s="140" t="n"/>
      <c r="AD57" s="140" t="n"/>
      <c r="AE57" s="140" t="n"/>
      <c r="AF57" s="140" t="n"/>
      <c r="AG57" s="140" t="n"/>
      <c r="AH57" s="140" t="n"/>
      <c r="AI57" s="140" t="n"/>
      <c r="AJ57" s="141" t="n"/>
      <c r="AK57" s="140" t="n"/>
    </row>
    <row r="58" ht="17" customHeight="1">
      <c r="A58" s="80" t="n"/>
      <c r="B58" s="81" t="n"/>
      <c r="C58" s="130" t="n"/>
      <c r="D58" s="83" t="n"/>
      <c r="E58" s="83" t="n"/>
      <c r="F58" s="83" t="n"/>
      <c r="G58" s="84" t="n"/>
      <c r="H58" s="83" t="n"/>
      <c r="I58" s="131" t="n"/>
      <c r="J58" s="132" t="n"/>
      <c r="K58" s="132" t="n"/>
      <c r="L58" s="132" t="n"/>
      <c r="M58" s="133" t="n"/>
      <c r="N58" s="132" t="n"/>
      <c r="O58" s="81" t="n"/>
      <c r="P58" s="83" t="n"/>
      <c r="Q58" s="88" t="n"/>
      <c r="R58" s="88" t="n"/>
      <c r="S58" s="89" t="n"/>
      <c r="T58" s="89" t="n"/>
      <c r="U58" s="89" t="n"/>
      <c r="V58" s="88" t="n"/>
      <c r="W58" s="89" t="n"/>
      <c r="X58" s="89" t="n"/>
      <c r="Y58" s="89" t="n"/>
      <c r="Z58" s="89" t="n"/>
      <c r="AA58" s="89" t="n"/>
      <c r="AB58" s="89" t="n"/>
      <c r="AC58" s="134" t="n"/>
      <c r="AD58" s="134" t="n"/>
      <c r="AE58" s="134" t="n"/>
      <c r="AF58" s="134" t="n"/>
      <c r="AG58" s="134" t="n"/>
      <c r="AH58" s="134" t="n"/>
      <c r="AI58" s="134" t="n"/>
      <c r="AJ58" s="135" t="n"/>
      <c r="AK58" s="134" t="n"/>
    </row>
    <row r="59" ht="17" customHeight="1">
      <c r="A59" s="80" t="n"/>
      <c r="B59" s="92" t="n"/>
      <c r="C59" s="136" t="n"/>
      <c r="D59" s="94" t="n"/>
      <c r="E59" s="94" t="n"/>
      <c r="F59" s="94" t="n"/>
      <c r="G59" s="95" t="n"/>
      <c r="H59" s="94" t="n"/>
      <c r="I59" s="137" t="n"/>
      <c r="J59" s="138" t="n"/>
      <c r="K59" s="138" t="n"/>
      <c r="L59" s="138" t="n"/>
      <c r="M59" s="139" t="n"/>
      <c r="N59" s="138" t="n"/>
      <c r="O59" s="92" t="n"/>
      <c r="P59" s="94" t="n"/>
      <c r="Q59" s="99" t="n"/>
      <c r="R59" s="99" t="n"/>
      <c r="S59" s="100" t="n"/>
      <c r="T59" s="100" t="n"/>
      <c r="U59" s="100" t="n"/>
      <c r="V59" s="99" t="n"/>
      <c r="W59" s="100" t="n"/>
      <c r="X59" s="100" t="n"/>
      <c r="Y59" s="100" t="n"/>
      <c r="Z59" s="100" t="n"/>
      <c r="AA59" s="100" t="n"/>
      <c r="AB59" s="100" t="n"/>
      <c r="AC59" s="140" t="n"/>
      <c r="AD59" s="140" t="n"/>
      <c r="AE59" s="140" t="n"/>
      <c r="AF59" s="140" t="n"/>
      <c r="AG59" s="140" t="n"/>
      <c r="AH59" s="140" t="n"/>
      <c r="AI59" s="140" t="n"/>
      <c r="AJ59" s="141" t="n"/>
      <c r="AK59" s="140" t="n"/>
    </row>
    <row r="60" ht="17" customHeight="1">
      <c r="A60" s="80" t="n"/>
      <c r="B60" s="81" t="n"/>
      <c r="C60" s="130" t="n"/>
      <c r="D60" s="83" t="n"/>
      <c r="E60" s="83" t="n"/>
      <c r="F60" s="83" t="n"/>
      <c r="G60" s="84" t="n"/>
      <c r="H60" s="83" t="n"/>
      <c r="I60" s="131" t="n"/>
      <c r="J60" s="132" t="n"/>
      <c r="K60" s="132" t="n"/>
      <c r="L60" s="132" t="n"/>
      <c r="M60" s="133" t="n"/>
      <c r="N60" s="132" t="n"/>
      <c r="O60" s="81" t="n"/>
      <c r="P60" s="83" t="n"/>
      <c r="Q60" s="88" t="n"/>
      <c r="R60" s="88" t="n"/>
      <c r="S60" s="89" t="n"/>
      <c r="T60" s="89" t="n"/>
      <c r="U60" s="89" t="n"/>
      <c r="V60" s="88" t="n"/>
      <c r="W60" s="89" t="n"/>
      <c r="X60" s="89" t="n"/>
      <c r="Y60" s="89" t="n"/>
      <c r="Z60" s="89" t="n"/>
      <c r="AA60" s="89" t="n"/>
      <c r="AB60" s="89" t="n"/>
      <c r="AC60" s="134" t="n"/>
      <c r="AD60" s="134" t="n"/>
      <c r="AE60" s="134" t="n"/>
      <c r="AF60" s="134" t="n"/>
      <c r="AG60" s="134" t="n"/>
      <c r="AH60" s="134" t="n"/>
      <c r="AI60" s="134" t="n"/>
      <c r="AJ60" s="135" t="n"/>
      <c r="AK60" s="134" t="n"/>
    </row>
    <row r="61" ht="17" customHeight="1">
      <c r="A61" s="80" t="n"/>
      <c r="B61" s="92" t="n"/>
      <c r="C61" s="136" t="n"/>
      <c r="D61" s="94" t="n"/>
      <c r="E61" s="94" t="n"/>
      <c r="F61" s="94" t="n"/>
      <c r="G61" s="95" t="n"/>
      <c r="H61" s="94" t="n"/>
      <c r="I61" s="137" t="n"/>
      <c r="J61" s="138" t="n"/>
      <c r="K61" s="138" t="n"/>
      <c r="L61" s="138" t="n"/>
      <c r="M61" s="139" t="n"/>
      <c r="N61" s="138" t="n"/>
      <c r="O61" s="92" t="n"/>
      <c r="P61" s="94" t="n"/>
      <c r="Q61" s="99" t="n"/>
      <c r="R61" s="99" t="n"/>
      <c r="S61" s="100" t="n"/>
      <c r="T61" s="100" t="n"/>
      <c r="U61" s="100" t="n"/>
      <c r="V61" s="99" t="n"/>
      <c r="W61" s="100" t="n"/>
      <c r="X61" s="100" t="n"/>
      <c r="Y61" s="100" t="n"/>
      <c r="Z61" s="100" t="n"/>
      <c r="AA61" s="100" t="n"/>
      <c r="AB61" s="100" t="n"/>
      <c r="AC61" s="140" t="n"/>
      <c r="AD61" s="140" t="n"/>
      <c r="AE61" s="140" t="n"/>
      <c r="AF61" s="140" t="n"/>
      <c r="AG61" s="140" t="n"/>
      <c r="AH61" s="140" t="n"/>
      <c r="AI61" s="140" t="n"/>
      <c r="AJ61" s="141" t="n"/>
      <c r="AK61" s="140" t="n"/>
    </row>
    <row r="62" ht="17" customHeight="1">
      <c r="A62" s="80" t="n"/>
      <c r="B62" s="81" t="n"/>
      <c r="C62" s="130" t="n"/>
      <c r="D62" s="83" t="n"/>
      <c r="E62" s="83" t="n"/>
      <c r="F62" s="83" t="n"/>
      <c r="G62" s="84" t="n"/>
      <c r="H62" s="83" t="n"/>
      <c r="I62" s="131" t="n"/>
      <c r="J62" s="132" t="n"/>
      <c r="K62" s="132" t="n"/>
      <c r="L62" s="132" t="n"/>
      <c r="M62" s="133" t="n"/>
      <c r="N62" s="132" t="n"/>
      <c r="O62" s="81" t="n"/>
      <c r="P62" s="83" t="n"/>
      <c r="Q62" s="88" t="n"/>
      <c r="R62" s="88" t="n"/>
      <c r="S62" s="89" t="n"/>
      <c r="T62" s="89" t="n"/>
      <c r="U62" s="89" t="n"/>
      <c r="V62" s="88" t="n"/>
      <c r="W62" s="89" t="n"/>
      <c r="X62" s="89" t="n"/>
      <c r="Y62" s="89" t="n"/>
      <c r="Z62" s="89" t="n"/>
      <c r="AA62" s="89" t="n"/>
      <c r="AB62" s="89" t="n"/>
      <c r="AC62" s="134" t="n"/>
      <c r="AD62" s="134" t="n"/>
      <c r="AE62" s="134" t="n"/>
      <c r="AF62" s="134" t="n"/>
      <c r="AG62" s="134" t="n"/>
      <c r="AH62" s="134" t="n"/>
      <c r="AI62" s="134" t="n"/>
      <c r="AJ62" s="135" t="n"/>
      <c r="AK62" s="134" t="n"/>
    </row>
    <row r="63" ht="17" customHeight="1">
      <c r="A63" s="80" t="n"/>
      <c r="B63" s="92" t="n"/>
      <c r="C63" s="136" t="n"/>
      <c r="D63" s="94" t="n"/>
      <c r="E63" s="94" t="n"/>
      <c r="F63" s="94" t="n"/>
      <c r="G63" s="95" t="n"/>
      <c r="H63" s="94" t="n"/>
      <c r="I63" s="137" t="n"/>
      <c r="J63" s="138" t="n"/>
      <c r="K63" s="138" t="n"/>
      <c r="L63" s="138" t="n"/>
      <c r="M63" s="139" t="n"/>
      <c r="N63" s="138" t="n"/>
      <c r="O63" s="92" t="n"/>
      <c r="P63" s="94" t="n"/>
      <c r="Q63" s="99" t="n"/>
      <c r="R63" s="99" t="n"/>
      <c r="S63" s="100" t="n"/>
      <c r="T63" s="100" t="n"/>
      <c r="U63" s="100" t="n"/>
      <c r="V63" s="99" t="n"/>
      <c r="W63" s="100" t="n"/>
      <c r="X63" s="100" t="n"/>
      <c r="Y63" s="100" t="n"/>
      <c r="Z63" s="100" t="n"/>
      <c r="AA63" s="100" t="n"/>
      <c r="AB63" s="100" t="n"/>
      <c r="AC63" s="140" t="n"/>
      <c r="AD63" s="140" t="n"/>
      <c r="AE63" s="140" t="n"/>
      <c r="AF63" s="140" t="n"/>
      <c r="AG63" s="140" t="n"/>
      <c r="AH63" s="140" t="n"/>
      <c r="AI63" s="140" t="n"/>
      <c r="AJ63" s="141" t="n"/>
      <c r="AK63" s="140" t="n"/>
    </row>
    <row r="64" ht="17" customHeight="1">
      <c r="A64" s="80" t="n"/>
      <c r="B64" s="81" t="n"/>
      <c r="C64" s="130" t="n"/>
      <c r="D64" s="83" t="n"/>
      <c r="E64" s="83" t="n"/>
      <c r="F64" s="83" t="n"/>
      <c r="G64" s="84" t="n"/>
      <c r="H64" s="83" t="n"/>
      <c r="I64" s="131" t="n"/>
      <c r="J64" s="132" t="n"/>
      <c r="K64" s="132" t="n"/>
      <c r="L64" s="132" t="n"/>
      <c r="M64" s="133" t="n"/>
      <c r="N64" s="132" t="n"/>
      <c r="O64" s="81" t="n"/>
      <c r="P64" s="83" t="n"/>
      <c r="Q64" s="88" t="n"/>
      <c r="R64" s="88" t="n"/>
      <c r="S64" s="89" t="n"/>
      <c r="T64" s="89" t="n"/>
      <c r="U64" s="89" t="n"/>
      <c r="V64" s="88" t="n"/>
      <c r="W64" s="89" t="n"/>
      <c r="X64" s="89" t="n"/>
      <c r="Y64" s="89" t="n"/>
      <c r="Z64" s="89" t="n"/>
      <c r="AA64" s="89" t="n"/>
      <c r="AB64" s="89" t="n"/>
      <c r="AC64" s="134" t="n"/>
      <c r="AD64" s="134" t="n"/>
      <c r="AE64" s="134" t="n"/>
      <c r="AF64" s="134" t="n"/>
      <c r="AG64" s="134" t="n"/>
      <c r="AH64" s="134" t="n"/>
      <c r="AI64" s="134" t="n"/>
      <c r="AJ64" s="135" t="n"/>
      <c r="AK64" s="134" t="n"/>
    </row>
    <row r="65" ht="17" customHeight="1">
      <c r="A65" s="80" t="n"/>
      <c r="B65" s="92" t="n"/>
      <c r="C65" s="136" t="n"/>
      <c r="D65" s="94" t="n"/>
      <c r="E65" s="94" t="n"/>
      <c r="F65" s="94" t="n"/>
      <c r="G65" s="95" t="n"/>
      <c r="H65" s="94" t="n"/>
      <c r="I65" s="137" t="n"/>
      <c r="J65" s="138" t="n"/>
      <c r="K65" s="138" t="n"/>
      <c r="L65" s="138" t="n"/>
      <c r="M65" s="139" t="n"/>
      <c r="N65" s="138" t="n"/>
      <c r="O65" s="92" t="n"/>
      <c r="P65" s="94" t="n"/>
      <c r="Q65" s="99" t="n"/>
      <c r="R65" s="99" t="n"/>
      <c r="S65" s="100" t="n"/>
      <c r="T65" s="100" t="n"/>
      <c r="U65" s="100" t="n"/>
      <c r="V65" s="99" t="n"/>
      <c r="W65" s="100" t="n"/>
      <c r="X65" s="100" t="n"/>
      <c r="Y65" s="100" t="n"/>
      <c r="Z65" s="100" t="n"/>
      <c r="AA65" s="100" t="n"/>
      <c r="AB65" s="100" t="n"/>
      <c r="AC65" s="140" t="n"/>
      <c r="AD65" s="140" t="n"/>
      <c r="AE65" s="140" t="n"/>
      <c r="AF65" s="140" t="n"/>
      <c r="AG65" s="140" t="n"/>
      <c r="AH65" s="140" t="n"/>
      <c r="AI65" s="140" t="n"/>
      <c r="AJ65" s="141" t="n"/>
      <c r="AK65" s="140" t="n"/>
    </row>
    <row r="66" ht="17" customHeight="1">
      <c r="A66" s="80" t="n"/>
      <c r="B66" s="81" t="n"/>
      <c r="C66" s="130" t="n"/>
      <c r="D66" s="83" t="n"/>
      <c r="E66" s="83" t="n"/>
      <c r="F66" s="83" t="n"/>
      <c r="G66" s="84" t="n"/>
      <c r="H66" s="83" t="n"/>
      <c r="I66" s="131" t="n"/>
      <c r="J66" s="132" t="n"/>
      <c r="K66" s="132" t="n"/>
      <c r="L66" s="132" t="n"/>
      <c r="M66" s="133" t="n"/>
      <c r="N66" s="132" t="n"/>
      <c r="O66" s="81" t="n"/>
      <c r="P66" s="83" t="n"/>
      <c r="Q66" s="88" t="n"/>
      <c r="R66" s="88" t="n"/>
      <c r="S66" s="89" t="n"/>
      <c r="T66" s="89" t="n"/>
      <c r="U66" s="89" t="n"/>
      <c r="V66" s="88" t="n"/>
      <c r="W66" s="89" t="n"/>
      <c r="X66" s="89" t="n"/>
      <c r="Y66" s="89" t="n"/>
      <c r="Z66" s="89" t="n"/>
      <c r="AA66" s="89" t="n"/>
      <c r="AB66" s="89" t="n"/>
      <c r="AC66" s="134" t="n"/>
      <c r="AD66" s="134" t="n"/>
      <c r="AE66" s="134" t="n"/>
      <c r="AF66" s="134" t="n"/>
      <c r="AG66" s="134" t="n"/>
      <c r="AH66" s="134" t="n"/>
      <c r="AI66" s="134" t="n"/>
      <c r="AJ66" s="135" t="n"/>
      <c r="AK66" s="134" t="n"/>
    </row>
    <row r="67" ht="17" customHeight="1">
      <c r="A67" s="80" t="n"/>
      <c r="B67" s="92" t="n"/>
      <c r="C67" s="136" t="n"/>
      <c r="D67" s="94" t="n"/>
      <c r="E67" s="94" t="n"/>
      <c r="F67" s="94" t="n"/>
      <c r="G67" s="95" t="n"/>
      <c r="H67" s="94" t="n"/>
      <c r="I67" s="137" t="n"/>
      <c r="J67" s="138" t="n"/>
      <c r="K67" s="138" t="n"/>
      <c r="L67" s="138" t="n"/>
      <c r="M67" s="139" t="n"/>
      <c r="N67" s="138" t="n"/>
      <c r="O67" s="92" t="n"/>
      <c r="P67" s="94" t="n"/>
      <c r="Q67" s="99" t="n"/>
      <c r="R67" s="99" t="n"/>
      <c r="S67" s="100" t="n"/>
      <c r="T67" s="100" t="n"/>
      <c r="U67" s="100" t="n"/>
      <c r="V67" s="99" t="n"/>
      <c r="W67" s="100" t="n"/>
      <c r="X67" s="100" t="n"/>
      <c r="Y67" s="100" t="n"/>
      <c r="Z67" s="100" t="n"/>
      <c r="AA67" s="100" t="n"/>
      <c r="AB67" s="100" t="n"/>
      <c r="AC67" s="140" t="n"/>
      <c r="AD67" s="140" t="n"/>
      <c r="AE67" s="140" t="n"/>
      <c r="AF67" s="140" t="n"/>
      <c r="AG67" s="140" t="n"/>
      <c r="AH67" s="140" t="n"/>
      <c r="AI67" s="140" t="n"/>
      <c r="AJ67" s="141" t="n"/>
      <c r="AK67" s="140" t="n"/>
    </row>
    <row r="68" ht="17" customHeight="1">
      <c r="A68" s="80" t="n"/>
      <c r="B68" s="81" t="n"/>
      <c r="C68" s="130" t="n"/>
      <c r="D68" s="83" t="n"/>
      <c r="E68" s="83" t="n"/>
      <c r="F68" s="83" t="n"/>
      <c r="G68" s="84" t="n"/>
      <c r="H68" s="83" t="n"/>
      <c r="I68" s="131" t="n"/>
      <c r="J68" s="132" t="n"/>
      <c r="K68" s="132" t="n"/>
      <c r="L68" s="132" t="n"/>
      <c r="M68" s="133" t="n"/>
      <c r="N68" s="132" t="n"/>
      <c r="O68" s="81" t="n"/>
      <c r="P68" s="83" t="n"/>
      <c r="Q68" s="88" t="n"/>
      <c r="R68" s="88" t="n"/>
      <c r="S68" s="89" t="n"/>
      <c r="T68" s="89" t="n"/>
      <c r="U68" s="89" t="n"/>
      <c r="V68" s="88" t="n"/>
      <c r="W68" s="89" t="n"/>
      <c r="X68" s="89" t="n"/>
      <c r="Y68" s="89" t="n"/>
      <c r="Z68" s="89" t="n"/>
      <c r="AA68" s="89" t="n"/>
      <c r="AB68" s="89" t="n"/>
      <c r="AC68" s="134" t="n"/>
      <c r="AD68" s="134" t="n"/>
      <c r="AE68" s="134" t="n"/>
      <c r="AF68" s="134" t="n"/>
      <c r="AG68" s="134" t="n"/>
      <c r="AH68" s="134" t="n"/>
      <c r="AI68" s="134" t="n"/>
      <c r="AJ68" s="135" t="n"/>
      <c r="AK68" s="134" t="n"/>
    </row>
    <row r="69" ht="17" customHeight="1">
      <c r="A69" s="80" t="n"/>
      <c r="B69" s="92" t="n"/>
      <c r="C69" s="136" t="n"/>
      <c r="D69" s="94" t="n"/>
      <c r="E69" s="94" t="n"/>
      <c r="F69" s="94" t="n"/>
      <c r="G69" s="95" t="n"/>
      <c r="H69" s="94" t="n"/>
      <c r="I69" s="137" t="n"/>
      <c r="J69" s="138" t="n"/>
      <c r="K69" s="138" t="n"/>
      <c r="L69" s="138" t="n"/>
      <c r="M69" s="139" t="n"/>
      <c r="N69" s="138" t="n"/>
      <c r="O69" s="92" t="n"/>
      <c r="P69" s="94" t="n"/>
      <c r="Q69" s="99" t="n"/>
      <c r="R69" s="99" t="n"/>
      <c r="S69" s="100" t="n"/>
      <c r="T69" s="100" t="n"/>
      <c r="U69" s="100" t="n"/>
      <c r="V69" s="99" t="n"/>
      <c r="W69" s="100" t="n"/>
      <c r="X69" s="100" t="n"/>
      <c r="Y69" s="100" t="n"/>
      <c r="Z69" s="100" t="n"/>
      <c r="AA69" s="100" t="n"/>
      <c r="AB69" s="100" t="n"/>
      <c r="AC69" s="140" t="n"/>
      <c r="AD69" s="140" t="n"/>
      <c r="AE69" s="140" t="n"/>
      <c r="AF69" s="140" t="n"/>
      <c r="AG69" s="140" t="n"/>
      <c r="AH69" s="140" t="n"/>
      <c r="AI69" s="140" t="n"/>
      <c r="AJ69" s="141" t="n"/>
      <c r="AK69" s="140" t="n"/>
    </row>
    <row r="70" ht="17" customHeight="1">
      <c r="A70" s="80" t="n"/>
      <c r="B70" s="81" t="n"/>
      <c r="C70" s="130" t="n"/>
      <c r="D70" s="83" t="n"/>
      <c r="E70" s="83" t="n"/>
      <c r="F70" s="83" t="n"/>
      <c r="G70" s="84" t="n"/>
      <c r="H70" s="83" t="n"/>
      <c r="I70" s="131" t="n"/>
      <c r="J70" s="132" t="n"/>
      <c r="K70" s="132" t="n"/>
      <c r="L70" s="132" t="n"/>
      <c r="M70" s="133" t="n"/>
      <c r="N70" s="132" t="n"/>
      <c r="O70" s="81" t="n"/>
      <c r="P70" s="83" t="n"/>
      <c r="Q70" s="88" t="n"/>
      <c r="R70" s="88" t="n"/>
      <c r="S70" s="89" t="n"/>
      <c r="T70" s="89" t="n"/>
      <c r="U70" s="89" t="n"/>
      <c r="V70" s="88" t="n"/>
      <c r="W70" s="89" t="n"/>
      <c r="X70" s="89" t="n"/>
      <c r="Y70" s="89" t="n"/>
      <c r="Z70" s="89" t="n"/>
      <c r="AA70" s="89" t="n"/>
      <c r="AB70" s="89" t="n"/>
      <c r="AC70" s="134" t="n"/>
      <c r="AD70" s="134" t="n"/>
      <c r="AE70" s="134" t="n"/>
      <c r="AF70" s="134" t="n"/>
      <c r="AG70" s="134" t="n"/>
      <c r="AH70" s="134" t="n"/>
      <c r="AI70" s="134" t="n"/>
      <c r="AJ70" s="135" t="n"/>
      <c r="AK70" s="134" t="n"/>
    </row>
    <row r="71" ht="17" customHeight="1">
      <c r="A71" s="80" t="n"/>
      <c r="B71" s="92" t="n"/>
      <c r="C71" s="136" t="n"/>
      <c r="D71" s="94" t="n"/>
      <c r="E71" s="94" t="n"/>
      <c r="F71" s="94" t="n"/>
      <c r="G71" s="95" t="n"/>
      <c r="H71" s="94" t="n"/>
      <c r="I71" s="137" t="n"/>
      <c r="J71" s="138" t="n"/>
      <c r="K71" s="138" t="n"/>
      <c r="L71" s="138" t="n"/>
      <c r="M71" s="139" t="n"/>
      <c r="N71" s="138" t="n"/>
      <c r="O71" s="92" t="n"/>
      <c r="P71" s="94" t="n"/>
      <c r="Q71" s="99" t="n"/>
      <c r="R71" s="99" t="n"/>
      <c r="S71" s="100" t="n"/>
      <c r="T71" s="100" t="n"/>
      <c r="U71" s="100" t="n"/>
      <c r="V71" s="99" t="n"/>
      <c r="W71" s="100" t="n"/>
      <c r="X71" s="100" t="n"/>
      <c r="Y71" s="100" t="n"/>
      <c r="Z71" s="100" t="n"/>
      <c r="AA71" s="100" t="n"/>
      <c r="AB71" s="100" t="n"/>
      <c r="AC71" s="140" t="n"/>
      <c r="AD71" s="140" t="n"/>
      <c r="AE71" s="140" t="n"/>
      <c r="AF71" s="140" t="n"/>
      <c r="AG71" s="140" t="n"/>
      <c r="AH71" s="140" t="n"/>
      <c r="AI71" s="140" t="n"/>
      <c r="AJ71" s="141" t="n"/>
      <c r="AK71" s="140" t="n"/>
    </row>
    <row r="72" ht="17" customHeight="1">
      <c r="A72" s="80" t="n"/>
      <c r="B72" s="81" t="n"/>
      <c r="C72" s="130" t="n"/>
      <c r="D72" s="83" t="n"/>
      <c r="E72" s="83" t="n"/>
      <c r="F72" s="83" t="n"/>
      <c r="G72" s="84" t="n"/>
      <c r="H72" s="83" t="n"/>
      <c r="I72" s="131" t="n"/>
      <c r="J72" s="132" t="n"/>
      <c r="K72" s="132" t="n"/>
      <c r="L72" s="132" t="n"/>
      <c r="M72" s="133" t="n"/>
      <c r="N72" s="132" t="n"/>
      <c r="O72" s="81" t="n"/>
      <c r="P72" s="83" t="n"/>
      <c r="Q72" s="88" t="n"/>
      <c r="R72" s="88" t="n"/>
      <c r="S72" s="89" t="n"/>
      <c r="T72" s="89" t="n"/>
      <c r="U72" s="89" t="n"/>
      <c r="V72" s="88" t="n"/>
      <c r="W72" s="89" t="n"/>
      <c r="X72" s="89" t="n"/>
      <c r="Y72" s="89" t="n"/>
      <c r="Z72" s="89" t="n"/>
      <c r="AA72" s="89" t="n"/>
      <c r="AB72" s="89" t="n"/>
      <c r="AC72" s="134" t="n"/>
      <c r="AD72" s="134" t="n"/>
      <c r="AE72" s="134" t="n"/>
      <c r="AF72" s="134" t="n"/>
      <c r="AG72" s="134" t="n"/>
      <c r="AH72" s="134" t="n"/>
      <c r="AI72" s="134" t="n"/>
      <c r="AJ72" s="135" t="n"/>
      <c r="AK72" s="134" t="n"/>
    </row>
    <row r="73" ht="17" customHeight="1">
      <c r="A73" s="80" t="n"/>
      <c r="B73" s="92" t="n"/>
      <c r="C73" s="136" t="n"/>
      <c r="D73" s="94" t="n"/>
      <c r="E73" s="94" t="n"/>
      <c r="F73" s="94" t="n"/>
      <c r="G73" s="95" t="n"/>
      <c r="H73" s="94" t="n"/>
      <c r="I73" s="137" t="n"/>
      <c r="J73" s="138" t="n"/>
      <c r="K73" s="138" t="n"/>
      <c r="L73" s="138" t="n"/>
      <c r="M73" s="139" t="n"/>
      <c r="N73" s="138" t="n"/>
      <c r="O73" s="92" t="n"/>
      <c r="P73" s="94" t="n"/>
      <c r="Q73" s="99" t="n"/>
      <c r="R73" s="99" t="n"/>
      <c r="S73" s="100" t="n"/>
      <c r="T73" s="100" t="n"/>
      <c r="U73" s="100" t="n"/>
      <c r="V73" s="99" t="n"/>
      <c r="W73" s="100" t="n"/>
      <c r="X73" s="100" t="n"/>
      <c r="Y73" s="100" t="n"/>
      <c r="Z73" s="100" t="n"/>
      <c r="AA73" s="100" t="n"/>
      <c r="AB73" s="100" t="n"/>
      <c r="AC73" s="140" t="n"/>
      <c r="AD73" s="140" t="n"/>
      <c r="AE73" s="140" t="n"/>
      <c r="AF73" s="140" t="n"/>
      <c r="AG73" s="140" t="n"/>
      <c r="AH73" s="140" t="n"/>
      <c r="AI73" s="140" t="n"/>
      <c r="AJ73" s="141" t="n"/>
      <c r="AK73" s="140" t="n"/>
    </row>
    <row r="74" ht="17" customHeight="1">
      <c r="A74" s="80" t="n"/>
      <c r="B74" s="81" t="n"/>
      <c r="C74" s="130" t="n"/>
      <c r="D74" s="83" t="n"/>
      <c r="E74" s="83" t="n"/>
      <c r="F74" s="83" t="n"/>
      <c r="G74" s="84" t="n"/>
      <c r="H74" s="83" t="n"/>
      <c r="I74" s="131" t="n"/>
      <c r="J74" s="132" t="n"/>
      <c r="K74" s="132" t="n"/>
      <c r="L74" s="132" t="n"/>
      <c r="M74" s="133" t="n"/>
      <c r="N74" s="132" t="n"/>
      <c r="O74" s="81" t="n"/>
      <c r="P74" s="83" t="n"/>
      <c r="Q74" s="88" t="n"/>
      <c r="R74" s="88" t="n"/>
      <c r="S74" s="89" t="n"/>
      <c r="T74" s="89" t="n"/>
      <c r="U74" s="89" t="n"/>
      <c r="V74" s="88" t="n"/>
      <c r="W74" s="89" t="n"/>
      <c r="X74" s="89" t="n"/>
      <c r="Y74" s="89" t="n"/>
      <c r="Z74" s="89" t="n"/>
      <c r="AA74" s="89" t="n"/>
      <c r="AB74" s="89" t="n"/>
      <c r="AC74" s="134" t="n"/>
      <c r="AD74" s="134" t="n"/>
      <c r="AE74" s="134" t="n"/>
      <c r="AF74" s="134" t="n"/>
      <c r="AG74" s="134" t="n"/>
      <c r="AH74" s="134" t="n"/>
      <c r="AI74" s="134" t="n"/>
      <c r="AJ74" s="135" t="n"/>
      <c r="AK74" s="134" t="n"/>
    </row>
    <row r="75" ht="17" customHeight="1">
      <c r="A75" s="80" t="n"/>
      <c r="B75" s="92" t="n"/>
      <c r="C75" s="136" t="n"/>
      <c r="D75" s="94" t="n"/>
      <c r="E75" s="94" t="n"/>
      <c r="F75" s="94" t="n"/>
      <c r="G75" s="95" t="n"/>
      <c r="H75" s="94" t="n"/>
      <c r="I75" s="137" t="n"/>
      <c r="J75" s="138" t="n"/>
      <c r="K75" s="138" t="n"/>
      <c r="L75" s="138" t="n"/>
      <c r="M75" s="139" t="n"/>
      <c r="N75" s="138" t="n"/>
      <c r="O75" s="92" t="n"/>
      <c r="P75" s="94" t="n"/>
      <c r="Q75" s="99" t="n"/>
      <c r="R75" s="99" t="n"/>
      <c r="S75" s="100" t="n"/>
      <c r="T75" s="100" t="n"/>
      <c r="U75" s="100" t="n"/>
      <c r="V75" s="99" t="n"/>
      <c r="W75" s="100" t="n"/>
      <c r="X75" s="100" t="n"/>
      <c r="Y75" s="100" t="n"/>
      <c r="Z75" s="100" t="n"/>
      <c r="AA75" s="100" t="n"/>
      <c r="AB75" s="100" t="n"/>
      <c r="AC75" s="140" t="n"/>
      <c r="AD75" s="140" t="n"/>
      <c r="AE75" s="140" t="n"/>
      <c r="AF75" s="140" t="n"/>
      <c r="AG75" s="140" t="n"/>
      <c r="AH75" s="140" t="n"/>
      <c r="AI75" s="140" t="n"/>
      <c r="AJ75" s="141" t="n"/>
      <c r="AK75" s="140" t="n"/>
    </row>
    <row r="76" ht="17" customHeight="1">
      <c r="A76" s="80" t="n"/>
      <c r="B76" s="81" t="n"/>
      <c r="C76" s="130" t="n"/>
      <c r="D76" s="83" t="n"/>
      <c r="E76" s="83" t="n"/>
      <c r="F76" s="83" t="n"/>
      <c r="G76" s="84" t="n"/>
      <c r="H76" s="83" t="n"/>
      <c r="I76" s="131" t="n"/>
      <c r="J76" s="132" t="n"/>
      <c r="K76" s="132" t="n"/>
      <c r="L76" s="132" t="n"/>
      <c r="M76" s="133" t="n"/>
      <c r="N76" s="132" t="n"/>
      <c r="O76" s="81" t="n"/>
      <c r="P76" s="83" t="n"/>
      <c r="Q76" s="88" t="n"/>
      <c r="R76" s="88" t="n"/>
      <c r="S76" s="89" t="n"/>
      <c r="T76" s="89" t="n"/>
      <c r="U76" s="89" t="n"/>
      <c r="V76" s="88" t="n"/>
      <c r="W76" s="89" t="n"/>
      <c r="X76" s="89" t="n"/>
      <c r="Y76" s="89" t="n"/>
      <c r="Z76" s="89" t="n"/>
      <c r="AA76" s="89" t="n"/>
      <c r="AB76" s="89" t="n"/>
      <c r="AC76" s="134" t="n"/>
      <c r="AD76" s="134" t="n"/>
      <c r="AE76" s="134" t="n"/>
      <c r="AF76" s="134" t="n"/>
      <c r="AG76" s="134" t="n"/>
      <c r="AH76" s="134" t="n"/>
      <c r="AI76" s="134" t="n"/>
      <c r="AJ76" s="135" t="n"/>
      <c r="AK76" s="134" t="n"/>
    </row>
    <row r="77" ht="17" customHeight="1">
      <c r="A77" s="80" t="n"/>
      <c r="B77" s="92" t="n"/>
      <c r="C77" s="136" t="n"/>
      <c r="D77" s="94" t="n"/>
      <c r="E77" s="94" t="n"/>
      <c r="F77" s="94" t="n"/>
      <c r="G77" s="95" t="n"/>
      <c r="H77" s="94" t="n"/>
      <c r="I77" s="137" t="n"/>
      <c r="J77" s="138" t="n"/>
      <c r="K77" s="138" t="n"/>
      <c r="L77" s="138" t="n"/>
      <c r="M77" s="139" t="n"/>
      <c r="N77" s="138" t="n"/>
      <c r="O77" s="92" t="n"/>
      <c r="P77" s="94" t="n"/>
      <c r="Q77" s="99" t="n"/>
      <c r="R77" s="99" t="n"/>
      <c r="S77" s="100" t="n"/>
      <c r="T77" s="100" t="n"/>
      <c r="U77" s="100" t="n"/>
      <c r="V77" s="99" t="n"/>
      <c r="W77" s="100" t="n"/>
      <c r="X77" s="100" t="n"/>
      <c r="Y77" s="100" t="n"/>
      <c r="Z77" s="100" t="n"/>
      <c r="AA77" s="100" t="n"/>
      <c r="AB77" s="100" t="n"/>
      <c r="AC77" s="140" t="n"/>
      <c r="AD77" s="140" t="n"/>
      <c r="AE77" s="140" t="n"/>
      <c r="AF77" s="140" t="n"/>
      <c r="AG77" s="140" t="n"/>
      <c r="AH77" s="140" t="n"/>
      <c r="AI77" s="140" t="n"/>
      <c r="AJ77" s="141" t="n"/>
      <c r="AK77" s="140" t="n"/>
    </row>
    <row r="78" ht="17" customHeight="1">
      <c r="A78" s="80" t="n"/>
      <c r="B78" s="81" t="n"/>
      <c r="C78" s="130" t="n"/>
      <c r="D78" s="83" t="n"/>
      <c r="E78" s="83" t="n"/>
      <c r="F78" s="83" t="n"/>
      <c r="G78" s="84" t="n"/>
      <c r="H78" s="83" t="n"/>
      <c r="I78" s="131" t="n"/>
      <c r="J78" s="132" t="n"/>
      <c r="K78" s="132" t="n"/>
      <c r="L78" s="132" t="n"/>
      <c r="M78" s="133" t="n"/>
      <c r="N78" s="132" t="n"/>
      <c r="O78" s="81" t="n"/>
      <c r="P78" s="83" t="n"/>
      <c r="Q78" s="88" t="n"/>
      <c r="R78" s="88" t="n"/>
      <c r="S78" s="89" t="n"/>
      <c r="T78" s="89" t="n"/>
      <c r="U78" s="89" t="n"/>
      <c r="V78" s="88" t="n"/>
      <c r="W78" s="89" t="n"/>
      <c r="X78" s="89" t="n"/>
      <c r="Y78" s="89" t="n"/>
      <c r="Z78" s="89" t="n"/>
      <c r="AA78" s="89" t="n"/>
      <c r="AB78" s="89" t="n"/>
      <c r="AC78" s="134" t="n"/>
      <c r="AD78" s="134" t="n"/>
      <c r="AE78" s="134" t="n"/>
      <c r="AF78" s="134" t="n"/>
      <c r="AG78" s="134" t="n"/>
      <c r="AH78" s="134" t="n"/>
      <c r="AI78" s="134" t="n"/>
      <c r="AJ78" s="135" t="n"/>
      <c r="AK78" s="134" t="n"/>
    </row>
    <row r="79" ht="17" customHeight="1">
      <c r="A79" s="80" t="n"/>
      <c r="B79" s="92" t="n"/>
      <c r="C79" s="136" t="n"/>
      <c r="D79" s="94" t="n"/>
      <c r="E79" s="94" t="n"/>
      <c r="F79" s="94" t="n"/>
      <c r="G79" s="95" t="n"/>
      <c r="H79" s="94" t="n"/>
      <c r="I79" s="137" t="n"/>
      <c r="J79" s="138" t="n"/>
      <c r="K79" s="138" t="n"/>
      <c r="L79" s="138" t="n"/>
      <c r="M79" s="139" t="n"/>
      <c r="N79" s="138" t="n"/>
      <c r="O79" s="92" t="n"/>
      <c r="P79" s="94" t="n"/>
      <c r="Q79" s="99" t="n"/>
      <c r="R79" s="99" t="n"/>
      <c r="S79" s="100" t="n"/>
      <c r="T79" s="100" t="n"/>
      <c r="U79" s="100" t="n"/>
      <c r="V79" s="99" t="n"/>
      <c r="W79" s="100" t="n"/>
      <c r="X79" s="100" t="n"/>
      <c r="Y79" s="100" t="n"/>
      <c r="Z79" s="100" t="n"/>
      <c r="AA79" s="100" t="n"/>
      <c r="AB79" s="100" t="n"/>
      <c r="AC79" s="140" t="n"/>
      <c r="AD79" s="140" t="n"/>
      <c r="AE79" s="140" t="n"/>
      <c r="AF79" s="140" t="n"/>
      <c r="AG79" s="140" t="n"/>
      <c r="AH79" s="140" t="n"/>
      <c r="AI79" s="140" t="n"/>
      <c r="AJ79" s="141" t="n"/>
      <c r="AK79" s="140" t="n"/>
    </row>
    <row r="80" ht="17" customHeight="1">
      <c r="A80" s="80" t="n"/>
      <c r="B80" s="81" t="n"/>
      <c r="C80" s="130" t="n"/>
      <c r="D80" s="83" t="n"/>
      <c r="E80" s="83" t="n"/>
      <c r="F80" s="83" t="n"/>
      <c r="G80" s="84" t="n"/>
      <c r="H80" s="83" t="n"/>
      <c r="I80" s="131" t="n"/>
      <c r="J80" s="132" t="n"/>
      <c r="K80" s="132" t="n"/>
      <c r="L80" s="132" t="n"/>
      <c r="M80" s="133" t="n"/>
      <c r="N80" s="132" t="n"/>
      <c r="O80" s="81" t="n"/>
      <c r="P80" s="83" t="n"/>
      <c r="Q80" s="88" t="n"/>
      <c r="R80" s="88" t="n"/>
      <c r="S80" s="89" t="n"/>
      <c r="T80" s="89" t="n"/>
      <c r="U80" s="89" t="n"/>
      <c r="V80" s="88" t="n"/>
      <c r="W80" s="89" t="n"/>
      <c r="X80" s="89" t="n"/>
      <c r="Y80" s="89" t="n"/>
      <c r="Z80" s="89" t="n"/>
      <c r="AA80" s="89" t="n"/>
      <c r="AB80" s="89" t="n"/>
      <c r="AC80" s="134" t="n"/>
      <c r="AD80" s="134" t="n"/>
      <c r="AE80" s="134" t="n"/>
      <c r="AF80" s="134" t="n"/>
      <c r="AG80" s="134" t="n"/>
      <c r="AH80" s="134" t="n"/>
      <c r="AI80" s="134" t="n"/>
      <c r="AJ80" s="135" t="n"/>
      <c r="AK80" s="134" t="n"/>
    </row>
    <row r="81" ht="17" customHeight="1">
      <c r="A81" s="80" t="n"/>
      <c r="B81" s="92" t="n"/>
      <c r="C81" s="136" t="n"/>
      <c r="D81" s="94" t="n"/>
      <c r="E81" s="94" t="n"/>
      <c r="F81" s="94" t="n"/>
      <c r="G81" s="95" t="n"/>
      <c r="H81" s="94" t="n"/>
      <c r="I81" s="137" t="n"/>
      <c r="J81" s="138" t="n"/>
      <c r="K81" s="138" t="n"/>
      <c r="L81" s="138" t="n"/>
      <c r="M81" s="139" t="n"/>
      <c r="N81" s="138" t="n"/>
      <c r="O81" s="92" t="n"/>
      <c r="P81" s="94" t="n"/>
      <c r="Q81" s="99" t="n"/>
      <c r="R81" s="99" t="n"/>
      <c r="S81" s="100" t="n"/>
      <c r="T81" s="100" t="n"/>
      <c r="U81" s="100" t="n"/>
      <c r="V81" s="99" t="n"/>
      <c r="W81" s="100" t="n"/>
      <c r="X81" s="100" t="n"/>
      <c r="Y81" s="100" t="n"/>
      <c r="Z81" s="100" t="n"/>
      <c r="AA81" s="100" t="n"/>
      <c r="AB81" s="100" t="n"/>
      <c r="AC81" s="140" t="n"/>
      <c r="AD81" s="140" t="n"/>
      <c r="AE81" s="140" t="n"/>
      <c r="AF81" s="140" t="n"/>
      <c r="AG81" s="140" t="n"/>
      <c r="AH81" s="140" t="n"/>
      <c r="AI81" s="140" t="n"/>
      <c r="AJ81" s="141" t="n"/>
      <c r="AK81" s="140" t="n"/>
    </row>
    <row r="82" ht="17" customHeight="1">
      <c r="A82" s="80" t="n"/>
      <c r="B82" s="81" t="n"/>
      <c r="C82" s="130" t="n"/>
      <c r="D82" s="83" t="n"/>
      <c r="E82" s="83" t="n"/>
      <c r="F82" s="83" t="n"/>
      <c r="G82" s="84" t="n"/>
      <c r="H82" s="83" t="n"/>
      <c r="I82" s="131" t="n"/>
      <c r="J82" s="132" t="n"/>
      <c r="K82" s="132" t="n"/>
      <c r="L82" s="132" t="n"/>
      <c r="M82" s="133" t="n"/>
      <c r="N82" s="132" t="n"/>
      <c r="O82" s="81" t="n"/>
      <c r="P82" s="83" t="n"/>
      <c r="Q82" s="88" t="n"/>
      <c r="R82" s="88" t="n"/>
      <c r="S82" s="89" t="n"/>
      <c r="T82" s="89" t="n"/>
      <c r="U82" s="89" t="n"/>
      <c r="V82" s="88" t="n"/>
      <c r="W82" s="89" t="n"/>
      <c r="X82" s="89" t="n"/>
      <c r="Y82" s="89" t="n"/>
      <c r="Z82" s="89" t="n"/>
      <c r="AA82" s="89" t="n"/>
      <c r="AB82" s="89" t="n"/>
      <c r="AC82" s="134" t="n"/>
      <c r="AD82" s="134" t="n"/>
      <c r="AE82" s="134" t="n"/>
      <c r="AF82" s="134" t="n"/>
      <c r="AG82" s="134" t="n"/>
      <c r="AH82" s="134" t="n"/>
      <c r="AI82" s="134" t="n"/>
      <c r="AJ82" s="135" t="n"/>
      <c r="AK82" s="134" t="n"/>
    </row>
    <row r="83" ht="17" customHeight="1">
      <c r="A83" s="80" t="n"/>
      <c r="B83" s="92" t="n"/>
      <c r="C83" s="136" t="n"/>
      <c r="D83" s="94" t="n"/>
      <c r="E83" s="94" t="n"/>
      <c r="F83" s="94" t="n"/>
      <c r="G83" s="95" t="n"/>
      <c r="H83" s="94" t="n"/>
      <c r="I83" s="137" t="n"/>
      <c r="J83" s="138" t="n"/>
      <c r="K83" s="138" t="n"/>
      <c r="L83" s="138" t="n"/>
      <c r="M83" s="139" t="n"/>
      <c r="N83" s="138" t="n"/>
      <c r="O83" s="92" t="n"/>
      <c r="P83" s="94" t="n"/>
      <c r="Q83" s="99" t="n"/>
      <c r="R83" s="99" t="n"/>
      <c r="S83" s="100" t="n"/>
      <c r="T83" s="100" t="n"/>
      <c r="U83" s="100" t="n"/>
      <c r="V83" s="99" t="n"/>
      <c r="W83" s="100" t="n"/>
      <c r="X83" s="100" t="n"/>
      <c r="Y83" s="100" t="n"/>
      <c r="Z83" s="100" t="n"/>
      <c r="AA83" s="100" t="n"/>
      <c r="AB83" s="100" t="n"/>
      <c r="AC83" s="140" t="n"/>
      <c r="AD83" s="140" t="n"/>
      <c r="AE83" s="140" t="n"/>
      <c r="AF83" s="140" t="n"/>
      <c r="AG83" s="140" t="n"/>
      <c r="AH83" s="140" t="n"/>
      <c r="AI83" s="140" t="n"/>
      <c r="AJ83" s="141" t="n"/>
      <c r="AK83" s="140" t="n"/>
    </row>
    <row r="84" ht="17" customHeight="1">
      <c r="A84" s="80" t="n"/>
      <c r="B84" s="81" t="n"/>
      <c r="C84" s="130" t="n"/>
      <c r="D84" s="83" t="n"/>
      <c r="E84" s="83" t="n"/>
      <c r="F84" s="83" t="n"/>
      <c r="G84" s="84" t="n"/>
      <c r="H84" s="83" t="n"/>
      <c r="I84" s="131" t="n"/>
      <c r="J84" s="132" t="n"/>
      <c r="K84" s="132" t="n"/>
      <c r="L84" s="132" t="n"/>
      <c r="M84" s="133" t="n"/>
      <c r="N84" s="132" t="n"/>
      <c r="O84" s="81" t="n"/>
      <c r="P84" s="83" t="n"/>
      <c r="Q84" s="88" t="n"/>
      <c r="R84" s="88" t="n"/>
      <c r="S84" s="89" t="n"/>
      <c r="T84" s="89" t="n"/>
      <c r="U84" s="89" t="n"/>
      <c r="V84" s="88" t="n"/>
      <c r="W84" s="89" t="n"/>
      <c r="X84" s="89" t="n"/>
      <c r="Y84" s="89" t="n"/>
      <c r="Z84" s="89" t="n"/>
      <c r="AA84" s="89" t="n"/>
      <c r="AB84" s="89" t="n"/>
      <c r="AC84" s="134" t="n"/>
      <c r="AD84" s="134" t="n"/>
      <c r="AE84" s="134" t="n"/>
      <c r="AF84" s="134" t="n"/>
      <c r="AG84" s="134" t="n"/>
      <c r="AH84" s="134" t="n"/>
      <c r="AI84" s="134" t="n"/>
      <c r="AJ84" s="135" t="n"/>
      <c r="AK84" s="134" t="n"/>
    </row>
    <row r="85" ht="17" customHeight="1">
      <c r="A85" s="80" t="n"/>
      <c r="B85" s="92" t="n"/>
      <c r="C85" s="136" t="n"/>
      <c r="D85" s="94" t="n"/>
      <c r="E85" s="94" t="n"/>
      <c r="F85" s="94" t="n"/>
      <c r="G85" s="95" t="n"/>
      <c r="H85" s="94" t="n"/>
      <c r="I85" s="137" t="n"/>
      <c r="J85" s="138" t="n"/>
      <c r="K85" s="138" t="n"/>
      <c r="L85" s="138" t="n"/>
      <c r="M85" s="139" t="n"/>
      <c r="N85" s="138" t="n"/>
      <c r="O85" s="92" t="n"/>
      <c r="P85" s="94" t="n"/>
      <c r="Q85" s="99" t="n"/>
      <c r="R85" s="99" t="n"/>
      <c r="S85" s="100" t="n"/>
      <c r="T85" s="100" t="n"/>
      <c r="U85" s="100" t="n"/>
      <c r="V85" s="99" t="n"/>
      <c r="W85" s="100" t="n"/>
      <c r="X85" s="100" t="n"/>
      <c r="Y85" s="100" t="n"/>
      <c r="Z85" s="100" t="n"/>
      <c r="AA85" s="100" t="n"/>
      <c r="AB85" s="100" t="n"/>
      <c r="AC85" s="140" t="n"/>
      <c r="AD85" s="140" t="n"/>
      <c r="AE85" s="140" t="n"/>
      <c r="AF85" s="140" t="n"/>
      <c r="AG85" s="140" t="n"/>
      <c r="AH85" s="140" t="n"/>
      <c r="AI85" s="140" t="n"/>
      <c r="AJ85" s="141" t="n"/>
      <c r="AK85" s="140" t="n"/>
    </row>
    <row r="86" ht="17" customHeight="1">
      <c r="A86" s="80" t="n"/>
      <c r="B86" s="81" t="n"/>
      <c r="C86" s="130" t="n"/>
      <c r="D86" s="83" t="n"/>
      <c r="E86" s="83" t="n"/>
      <c r="F86" s="83" t="n"/>
      <c r="G86" s="84" t="n"/>
      <c r="H86" s="83" t="n"/>
      <c r="I86" s="131" t="n"/>
      <c r="J86" s="132" t="n"/>
      <c r="K86" s="132" t="n"/>
      <c r="L86" s="132" t="n"/>
      <c r="M86" s="133" t="n"/>
      <c r="N86" s="132" t="n"/>
      <c r="O86" s="81" t="n"/>
      <c r="P86" s="83" t="n"/>
      <c r="Q86" s="88" t="n"/>
      <c r="R86" s="88" t="n"/>
      <c r="S86" s="89" t="n"/>
      <c r="T86" s="89" t="n"/>
      <c r="U86" s="89" t="n"/>
      <c r="V86" s="88" t="n"/>
      <c r="W86" s="89" t="n"/>
      <c r="X86" s="89" t="n"/>
      <c r="Y86" s="89" t="n"/>
      <c r="Z86" s="89" t="n"/>
      <c r="AA86" s="89" t="n"/>
      <c r="AB86" s="89" t="n"/>
      <c r="AC86" s="134" t="n"/>
      <c r="AD86" s="134" t="n"/>
      <c r="AE86" s="134" t="n"/>
      <c r="AF86" s="134" t="n"/>
      <c r="AG86" s="134" t="n"/>
      <c r="AH86" s="134" t="n"/>
      <c r="AI86" s="134" t="n"/>
      <c r="AJ86" s="135" t="n"/>
      <c r="AK86" s="134" t="n"/>
    </row>
    <row r="87" ht="17" customHeight="1">
      <c r="A87" s="80" t="n"/>
      <c r="B87" s="92" t="n"/>
      <c r="C87" s="136" t="n"/>
      <c r="D87" s="94" t="n"/>
      <c r="E87" s="94" t="n"/>
      <c r="F87" s="94" t="n"/>
      <c r="G87" s="95" t="n"/>
      <c r="H87" s="94" t="n"/>
      <c r="I87" s="137" t="n"/>
      <c r="J87" s="138" t="n"/>
      <c r="K87" s="138" t="n"/>
      <c r="L87" s="138" t="n"/>
      <c r="M87" s="139" t="n"/>
      <c r="N87" s="138" t="n"/>
      <c r="O87" s="92" t="n"/>
      <c r="P87" s="94" t="n"/>
      <c r="Q87" s="99" t="n"/>
      <c r="R87" s="99" t="n"/>
      <c r="S87" s="100" t="n"/>
      <c r="T87" s="100" t="n"/>
      <c r="U87" s="100" t="n"/>
      <c r="V87" s="99" t="n"/>
      <c r="W87" s="100" t="n"/>
      <c r="X87" s="100" t="n"/>
      <c r="Y87" s="100" t="n"/>
      <c r="Z87" s="100" t="n"/>
      <c r="AA87" s="100" t="n"/>
      <c r="AB87" s="100" t="n"/>
      <c r="AC87" s="140" t="n"/>
      <c r="AD87" s="140" t="n"/>
      <c r="AE87" s="140" t="n"/>
      <c r="AF87" s="140" t="n"/>
      <c r="AG87" s="140" t="n"/>
      <c r="AH87" s="140" t="n"/>
      <c r="AI87" s="140" t="n"/>
      <c r="AJ87" s="141" t="n"/>
      <c r="AK87" s="140" t="n"/>
    </row>
    <row r="88" ht="17" customHeight="1">
      <c r="A88" s="80" t="n"/>
      <c r="B88" s="81" t="n"/>
      <c r="C88" s="130" t="n"/>
      <c r="D88" s="83" t="n"/>
      <c r="E88" s="83" t="n"/>
      <c r="F88" s="83" t="n"/>
      <c r="G88" s="84" t="n"/>
      <c r="H88" s="83" t="n"/>
      <c r="I88" s="131" t="n"/>
      <c r="J88" s="132" t="n"/>
      <c r="K88" s="132" t="n"/>
      <c r="L88" s="132" t="n"/>
      <c r="M88" s="133" t="n"/>
      <c r="N88" s="132" t="n"/>
      <c r="O88" s="81" t="n"/>
      <c r="P88" s="83" t="n"/>
      <c r="Q88" s="88" t="n"/>
      <c r="R88" s="88" t="n"/>
      <c r="S88" s="89" t="n"/>
      <c r="T88" s="89" t="n"/>
      <c r="U88" s="89" t="n"/>
      <c r="V88" s="88" t="n"/>
      <c r="W88" s="89" t="n"/>
      <c r="X88" s="89" t="n"/>
      <c r="Y88" s="89" t="n"/>
      <c r="Z88" s="89" t="n"/>
      <c r="AA88" s="89" t="n"/>
      <c r="AB88" s="89" t="n"/>
      <c r="AC88" s="134" t="n"/>
      <c r="AD88" s="134" t="n"/>
      <c r="AE88" s="134" t="n"/>
      <c r="AF88" s="134" t="n"/>
      <c r="AG88" s="134" t="n"/>
      <c r="AH88" s="134" t="n"/>
      <c r="AI88" s="134" t="n"/>
      <c r="AJ88" s="135" t="n"/>
      <c r="AK88" s="134" t="n"/>
    </row>
    <row r="89" ht="17" customHeight="1">
      <c r="A89" s="80" t="n"/>
      <c r="B89" s="92" t="n"/>
      <c r="C89" s="136" t="n"/>
      <c r="D89" s="94" t="n"/>
      <c r="E89" s="94" t="n"/>
      <c r="F89" s="94" t="n"/>
      <c r="G89" s="95" t="n"/>
      <c r="H89" s="94" t="n"/>
      <c r="I89" s="137" t="n"/>
      <c r="J89" s="138" t="n"/>
      <c r="K89" s="138" t="n"/>
      <c r="L89" s="138" t="n"/>
      <c r="M89" s="139" t="n"/>
      <c r="N89" s="138" t="n"/>
      <c r="O89" s="92" t="n"/>
      <c r="P89" s="94" t="n"/>
      <c r="Q89" s="99" t="n"/>
      <c r="R89" s="99" t="n"/>
      <c r="S89" s="100" t="n"/>
      <c r="T89" s="100" t="n"/>
      <c r="U89" s="100" t="n"/>
      <c r="V89" s="99" t="n"/>
      <c r="W89" s="100" t="n"/>
      <c r="X89" s="100" t="n"/>
      <c r="Y89" s="100" t="n"/>
      <c r="Z89" s="100" t="n"/>
      <c r="AA89" s="100" t="n"/>
      <c r="AB89" s="100" t="n"/>
      <c r="AC89" s="140" t="n"/>
      <c r="AD89" s="140" t="n"/>
      <c r="AE89" s="140" t="n"/>
      <c r="AF89" s="140" t="n"/>
      <c r="AG89" s="140" t="n"/>
      <c r="AH89" s="140" t="n"/>
      <c r="AI89" s="140" t="n"/>
      <c r="AJ89" s="141" t="n"/>
      <c r="AK89" s="140" t="n"/>
    </row>
    <row r="90" ht="17" customHeight="1">
      <c r="A90" s="80" t="n"/>
      <c r="B90" s="81" t="n"/>
      <c r="C90" s="130" t="n"/>
      <c r="D90" s="83" t="n"/>
      <c r="E90" s="83" t="n"/>
      <c r="F90" s="83" t="n"/>
      <c r="G90" s="84" t="n"/>
      <c r="H90" s="83" t="n"/>
      <c r="I90" s="131" t="n"/>
      <c r="J90" s="132" t="n"/>
      <c r="K90" s="132" t="n"/>
      <c r="L90" s="132" t="n"/>
      <c r="M90" s="133" t="n"/>
      <c r="N90" s="132" t="n"/>
      <c r="O90" s="81" t="n"/>
      <c r="P90" s="83" t="n"/>
      <c r="Q90" s="88" t="n"/>
      <c r="R90" s="88" t="n"/>
      <c r="S90" s="89" t="n"/>
      <c r="T90" s="89" t="n"/>
      <c r="U90" s="89" t="n"/>
      <c r="V90" s="88" t="n"/>
      <c r="W90" s="89" t="n"/>
      <c r="X90" s="89" t="n"/>
      <c r="Y90" s="89" t="n"/>
      <c r="Z90" s="89" t="n"/>
      <c r="AA90" s="89" t="n"/>
      <c r="AB90" s="89" t="n"/>
      <c r="AC90" s="134" t="n"/>
      <c r="AD90" s="134" t="n"/>
      <c r="AE90" s="134" t="n"/>
      <c r="AF90" s="134" t="n"/>
      <c r="AG90" s="134" t="n"/>
      <c r="AH90" s="134" t="n"/>
      <c r="AI90" s="134" t="n"/>
      <c r="AJ90" s="135" t="n"/>
      <c r="AK90" s="134" t="n"/>
    </row>
    <row r="91" ht="17" customHeight="1">
      <c r="A91" s="80" t="n"/>
      <c r="B91" s="92" t="n"/>
      <c r="C91" s="136" t="n"/>
      <c r="D91" s="94" t="n"/>
      <c r="E91" s="94" t="n"/>
      <c r="F91" s="94" t="n"/>
      <c r="G91" s="95" t="n"/>
      <c r="H91" s="94" t="n"/>
      <c r="I91" s="137" t="n"/>
      <c r="J91" s="138" t="n"/>
      <c r="K91" s="138" t="n"/>
      <c r="L91" s="138" t="n"/>
      <c r="M91" s="139" t="n"/>
      <c r="N91" s="138" t="n"/>
      <c r="O91" s="92" t="n"/>
      <c r="P91" s="94" t="n"/>
      <c r="Q91" s="99" t="n"/>
      <c r="R91" s="99" t="n"/>
      <c r="S91" s="100" t="n"/>
      <c r="T91" s="100" t="n"/>
      <c r="U91" s="100" t="n"/>
      <c r="V91" s="99" t="n"/>
      <c r="W91" s="100" t="n"/>
      <c r="X91" s="100" t="n"/>
      <c r="Y91" s="100" t="n"/>
      <c r="Z91" s="100" t="n"/>
      <c r="AA91" s="100" t="n"/>
      <c r="AB91" s="100" t="n"/>
      <c r="AC91" s="140" t="n"/>
      <c r="AD91" s="140" t="n"/>
      <c r="AE91" s="140" t="n"/>
      <c r="AF91" s="140" t="n"/>
      <c r="AG91" s="140" t="n"/>
      <c r="AH91" s="140" t="n"/>
      <c r="AI91" s="140" t="n"/>
      <c r="AJ91" s="141" t="n"/>
      <c r="AK91" s="140" t="n"/>
    </row>
    <row r="92" ht="17" customHeight="1">
      <c r="A92" s="80" t="n"/>
      <c r="B92" s="81" t="n"/>
      <c r="C92" s="130" t="n"/>
      <c r="D92" s="83" t="n"/>
      <c r="E92" s="83" t="n"/>
      <c r="F92" s="83" t="n"/>
      <c r="G92" s="84" t="n"/>
      <c r="H92" s="83" t="n"/>
      <c r="I92" s="131" t="n"/>
      <c r="J92" s="132" t="n"/>
      <c r="K92" s="132" t="n"/>
      <c r="L92" s="132" t="n"/>
      <c r="M92" s="133" t="n"/>
      <c r="N92" s="132" t="n"/>
      <c r="O92" s="81" t="n"/>
      <c r="P92" s="83" t="n"/>
      <c r="Q92" s="88" t="n"/>
      <c r="R92" s="88" t="n"/>
      <c r="S92" s="89" t="n"/>
      <c r="T92" s="89" t="n"/>
      <c r="U92" s="89" t="n"/>
      <c r="V92" s="88" t="n"/>
      <c r="W92" s="89" t="n"/>
      <c r="X92" s="89" t="n"/>
      <c r="Y92" s="89" t="n"/>
      <c r="Z92" s="89" t="n"/>
      <c r="AA92" s="89" t="n"/>
      <c r="AB92" s="89" t="n"/>
      <c r="AC92" s="134" t="n"/>
      <c r="AD92" s="134" t="n"/>
      <c r="AE92" s="134" t="n"/>
      <c r="AF92" s="134" t="n"/>
      <c r="AG92" s="134" t="n"/>
      <c r="AH92" s="134" t="n"/>
      <c r="AI92" s="134" t="n"/>
      <c r="AJ92" s="135" t="n"/>
      <c r="AK92" s="134" t="n"/>
    </row>
    <row r="93" ht="17" customHeight="1">
      <c r="A93" s="80" t="n"/>
      <c r="B93" s="92" t="n"/>
      <c r="C93" s="136" t="n"/>
      <c r="D93" s="94" t="n"/>
      <c r="E93" s="94" t="n"/>
      <c r="F93" s="94" t="n"/>
      <c r="G93" s="95" t="n"/>
      <c r="H93" s="94" t="n"/>
      <c r="I93" s="137" t="n"/>
      <c r="J93" s="138" t="n"/>
      <c r="K93" s="138" t="n"/>
      <c r="L93" s="138" t="n"/>
      <c r="M93" s="139" t="n"/>
      <c r="N93" s="138" t="n"/>
      <c r="O93" s="92" t="n"/>
      <c r="P93" s="94" t="n"/>
      <c r="Q93" s="99" t="n"/>
      <c r="R93" s="99" t="n"/>
      <c r="S93" s="100" t="n"/>
      <c r="T93" s="100" t="n"/>
      <c r="U93" s="100" t="n"/>
      <c r="V93" s="99" t="n"/>
      <c r="W93" s="100" t="n"/>
      <c r="X93" s="100" t="n"/>
      <c r="Y93" s="100" t="n"/>
      <c r="Z93" s="100" t="n"/>
      <c r="AA93" s="100" t="n"/>
      <c r="AB93" s="100" t="n"/>
      <c r="AC93" s="140" t="n"/>
      <c r="AD93" s="140" t="n"/>
      <c r="AE93" s="140" t="n"/>
      <c r="AF93" s="140" t="n"/>
      <c r="AG93" s="140" t="n"/>
      <c r="AH93" s="140" t="n"/>
      <c r="AI93" s="140" t="n"/>
      <c r="AJ93" s="141" t="n"/>
      <c r="AK93" s="140" t="n"/>
    </row>
    <row r="94" ht="17" customHeight="1">
      <c r="A94" s="80" t="n"/>
      <c r="B94" s="81" t="n"/>
      <c r="C94" s="130" t="n"/>
      <c r="D94" s="83" t="n"/>
      <c r="E94" s="83" t="n"/>
      <c r="F94" s="83" t="n"/>
      <c r="G94" s="84" t="n"/>
      <c r="H94" s="83" t="n"/>
      <c r="I94" s="131" t="n"/>
      <c r="J94" s="132" t="n"/>
      <c r="K94" s="132" t="n"/>
      <c r="L94" s="132" t="n"/>
      <c r="M94" s="133" t="n"/>
      <c r="N94" s="132" t="n"/>
      <c r="O94" s="81" t="n"/>
      <c r="P94" s="83" t="n"/>
      <c r="Q94" s="88" t="n"/>
      <c r="R94" s="88" t="n"/>
      <c r="S94" s="89" t="n"/>
      <c r="T94" s="89" t="n"/>
      <c r="U94" s="89" t="n"/>
      <c r="V94" s="88" t="n"/>
      <c r="W94" s="89" t="n"/>
      <c r="X94" s="89" t="n"/>
      <c r="Y94" s="89" t="n"/>
      <c r="Z94" s="89" t="n"/>
      <c r="AA94" s="89" t="n"/>
      <c r="AB94" s="89" t="n"/>
      <c r="AC94" s="134" t="n"/>
      <c r="AD94" s="134" t="n"/>
      <c r="AE94" s="134" t="n"/>
      <c r="AF94" s="134" t="n"/>
      <c r="AG94" s="134" t="n"/>
      <c r="AH94" s="134" t="n"/>
      <c r="AI94" s="134" t="n"/>
      <c r="AJ94" s="135" t="n"/>
      <c r="AK94" s="134" t="n"/>
    </row>
    <row r="95" ht="17" customHeight="1">
      <c r="A95" s="80" t="n"/>
      <c r="B95" s="92" t="n"/>
      <c r="C95" s="136" t="n"/>
      <c r="D95" s="94" t="n"/>
      <c r="E95" s="94" t="n"/>
      <c r="F95" s="94" t="n"/>
      <c r="G95" s="95" t="n"/>
      <c r="H95" s="94" t="n"/>
      <c r="I95" s="137" t="n"/>
      <c r="J95" s="138" t="n"/>
      <c r="K95" s="138" t="n"/>
      <c r="L95" s="138" t="n"/>
      <c r="M95" s="139" t="n"/>
      <c r="N95" s="138" t="n"/>
      <c r="O95" s="92" t="n"/>
      <c r="P95" s="94" t="n"/>
      <c r="Q95" s="99" t="n"/>
      <c r="R95" s="99" t="n"/>
      <c r="S95" s="100" t="n"/>
      <c r="T95" s="100" t="n"/>
      <c r="U95" s="100" t="n"/>
      <c r="V95" s="99" t="n"/>
      <c r="W95" s="100" t="n"/>
      <c r="X95" s="100" t="n"/>
      <c r="Y95" s="100" t="n"/>
      <c r="Z95" s="100" t="n"/>
      <c r="AA95" s="100" t="n"/>
      <c r="AB95" s="100" t="n"/>
      <c r="AC95" s="140" t="n"/>
      <c r="AD95" s="140" t="n"/>
      <c r="AE95" s="140" t="n"/>
      <c r="AF95" s="140" t="n"/>
      <c r="AG95" s="140" t="n"/>
      <c r="AH95" s="140" t="n"/>
      <c r="AI95" s="140" t="n"/>
      <c r="AJ95" s="141" t="n"/>
      <c r="AK95" s="140" t="n"/>
    </row>
    <row r="96" ht="17" customHeight="1">
      <c r="A96" s="80" t="n"/>
      <c r="B96" s="81" t="n"/>
      <c r="C96" s="130" t="n"/>
      <c r="D96" s="83" t="n"/>
      <c r="E96" s="83" t="n"/>
      <c r="F96" s="83" t="n"/>
      <c r="G96" s="84" t="n"/>
      <c r="H96" s="83" t="n"/>
      <c r="I96" s="131" t="n"/>
      <c r="J96" s="132" t="n"/>
      <c r="K96" s="132" t="n"/>
      <c r="L96" s="132" t="n"/>
      <c r="M96" s="133" t="n"/>
      <c r="N96" s="132" t="n"/>
      <c r="O96" s="81" t="n"/>
      <c r="P96" s="83" t="n"/>
      <c r="Q96" s="88" t="n"/>
      <c r="R96" s="88" t="n"/>
      <c r="S96" s="89" t="n"/>
      <c r="T96" s="89" t="n"/>
      <c r="U96" s="89" t="n"/>
      <c r="V96" s="88" t="n"/>
      <c r="W96" s="89" t="n"/>
      <c r="X96" s="89" t="n"/>
      <c r="Y96" s="89" t="n"/>
      <c r="Z96" s="89" t="n"/>
      <c r="AA96" s="89" t="n"/>
      <c r="AB96" s="89" t="n"/>
      <c r="AC96" s="134" t="n"/>
      <c r="AD96" s="134" t="n"/>
      <c r="AE96" s="134" t="n"/>
      <c r="AF96" s="134" t="n"/>
      <c r="AG96" s="134" t="n"/>
      <c r="AH96" s="134" t="n"/>
      <c r="AI96" s="134" t="n"/>
      <c r="AJ96" s="135" t="n"/>
      <c r="AK96" s="134" t="n"/>
    </row>
    <row r="97" ht="17" customHeight="1">
      <c r="A97" s="80" t="n"/>
      <c r="B97" s="92" t="n"/>
      <c r="C97" s="136" t="n"/>
      <c r="D97" s="94" t="n"/>
      <c r="E97" s="94" t="n"/>
      <c r="F97" s="94" t="n"/>
      <c r="G97" s="95" t="n"/>
      <c r="H97" s="94" t="n"/>
      <c r="I97" s="137" t="n"/>
      <c r="J97" s="138" t="n"/>
      <c r="K97" s="138" t="n"/>
      <c r="L97" s="138" t="n"/>
      <c r="M97" s="139" t="n"/>
      <c r="N97" s="138" t="n"/>
      <c r="O97" s="92" t="n"/>
      <c r="P97" s="94" t="n"/>
      <c r="Q97" s="99" t="n"/>
      <c r="R97" s="99" t="n"/>
      <c r="S97" s="100" t="n"/>
      <c r="T97" s="100" t="n"/>
      <c r="U97" s="100" t="n"/>
      <c r="V97" s="99" t="n"/>
      <c r="W97" s="100" t="n"/>
      <c r="X97" s="100" t="n"/>
      <c r="Y97" s="100" t="n"/>
      <c r="Z97" s="100" t="n"/>
      <c r="AA97" s="100" t="n"/>
      <c r="AB97" s="100" t="n"/>
      <c r="AC97" s="140" t="n"/>
      <c r="AD97" s="140" t="n"/>
      <c r="AE97" s="140" t="n"/>
      <c r="AF97" s="140" t="n"/>
      <c r="AG97" s="140" t="n"/>
      <c r="AH97" s="140" t="n"/>
      <c r="AI97" s="140" t="n"/>
      <c r="AJ97" s="141" t="n"/>
      <c r="AK97" s="140" t="n"/>
    </row>
    <row r="98" ht="17" customHeight="1">
      <c r="A98" s="80" t="n"/>
      <c r="B98" s="81" t="n"/>
      <c r="C98" s="130" t="n"/>
      <c r="D98" s="83" t="n"/>
      <c r="E98" s="83" t="n"/>
      <c r="F98" s="83" t="n"/>
      <c r="G98" s="84" t="n"/>
      <c r="H98" s="83" t="n"/>
      <c r="I98" s="131" t="n"/>
      <c r="J98" s="132" t="n"/>
      <c r="K98" s="132" t="n"/>
      <c r="L98" s="132" t="n"/>
      <c r="M98" s="133" t="n"/>
      <c r="N98" s="132" t="n"/>
      <c r="O98" s="81" t="n"/>
      <c r="P98" s="83" t="n"/>
      <c r="Q98" s="88" t="n"/>
      <c r="R98" s="88" t="n"/>
      <c r="S98" s="89" t="n"/>
      <c r="T98" s="89" t="n"/>
      <c r="U98" s="89" t="n"/>
      <c r="V98" s="88" t="n"/>
      <c r="W98" s="89" t="n"/>
      <c r="X98" s="89" t="n"/>
      <c r="Y98" s="89" t="n"/>
      <c r="Z98" s="89" t="n"/>
      <c r="AA98" s="89" t="n"/>
      <c r="AB98" s="89" t="n"/>
      <c r="AC98" s="134" t="n"/>
      <c r="AD98" s="134" t="n"/>
      <c r="AE98" s="134" t="n"/>
      <c r="AF98" s="134" t="n"/>
      <c r="AG98" s="134" t="n"/>
      <c r="AH98" s="134" t="n"/>
      <c r="AI98" s="134" t="n"/>
      <c r="AJ98" s="135" t="n"/>
      <c r="AK98" s="134" t="n"/>
    </row>
    <row r="99" ht="17" customHeight="1">
      <c r="A99" s="80" t="n"/>
      <c r="B99" s="92" t="n"/>
      <c r="C99" s="136" t="n"/>
      <c r="D99" s="94" t="n"/>
      <c r="E99" s="94" t="n"/>
      <c r="F99" s="94" t="n"/>
      <c r="G99" s="95" t="n"/>
      <c r="H99" s="94" t="n"/>
      <c r="I99" s="137" t="n"/>
      <c r="J99" s="138" t="n"/>
      <c r="K99" s="138" t="n"/>
      <c r="L99" s="138" t="n"/>
      <c r="M99" s="139" t="n"/>
      <c r="N99" s="138" t="n"/>
      <c r="O99" s="92" t="n"/>
      <c r="P99" s="94" t="n"/>
      <c r="Q99" s="99" t="n"/>
      <c r="R99" s="99" t="n"/>
      <c r="S99" s="100" t="n"/>
      <c r="T99" s="100" t="n"/>
      <c r="U99" s="100" t="n"/>
      <c r="V99" s="99" t="n"/>
      <c r="W99" s="100" t="n"/>
      <c r="X99" s="100" t="n"/>
      <c r="Y99" s="100" t="n"/>
      <c r="Z99" s="100" t="n"/>
      <c r="AA99" s="100" t="n"/>
      <c r="AB99" s="100" t="n"/>
      <c r="AC99" s="140" t="n"/>
      <c r="AD99" s="140" t="n"/>
      <c r="AE99" s="140" t="n"/>
      <c r="AF99" s="140" t="n"/>
      <c r="AG99" s="140" t="n"/>
      <c r="AH99" s="140" t="n"/>
      <c r="AI99" s="140" t="n"/>
      <c r="AJ99" s="141" t="n"/>
      <c r="AK99" s="140" t="n"/>
    </row>
    <row r="100" ht="17" customHeight="1">
      <c r="A100" s="80" t="n"/>
      <c r="B100" s="81" t="n"/>
      <c r="C100" s="130" t="n"/>
      <c r="D100" s="83" t="n"/>
      <c r="E100" s="83" t="n"/>
      <c r="F100" s="83" t="n"/>
      <c r="G100" s="84" t="n"/>
      <c r="H100" s="83" t="n"/>
      <c r="I100" s="131" t="n"/>
      <c r="J100" s="132" t="n"/>
      <c r="K100" s="132" t="n"/>
      <c r="L100" s="132" t="n"/>
      <c r="M100" s="133" t="n"/>
      <c r="N100" s="132" t="n"/>
      <c r="O100" s="81" t="n"/>
      <c r="P100" s="83" t="n"/>
      <c r="Q100" s="88" t="n"/>
      <c r="R100" s="88" t="n"/>
      <c r="S100" s="89" t="n"/>
      <c r="T100" s="89" t="n"/>
      <c r="U100" s="89" t="n"/>
      <c r="V100" s="88" t="n"/>
      <c r="W100" s="89" t="n"/>
      <c r="X100" s="89" t="n"/>
      <c r="Y100" s="89" t="n"/>
      <c r="Z100" s="89" t="n"/>
      <c r="AA100" s="89" t="n"/>
      <c r="AB100" s="89" t="n"/>
      <c r="AC100" s="134" t="n"/>
      <c r="AD100" s="134" t="n"/>
      <c r="AE100" s="134" t="n"/>
      <c r="AF100" s="134" t="n"/>
      <c r="AG100" s="134" t="n"/>
      <c r="AH100" s="134" t="n"/>
      <c r="AI100" s="134" t="n"/>
      <c r="AJ100" s="135" t="n"/>
      <c r="AK100" s="134" t="n"/>
    </row>
    <row r="101" ht="17" customHeight="1">
      <c r="A101" s="80" t="n"/>
      <c r="B101" s="92" t="n"/>
      <c r="C101" s="136" t="n"/>
      <c r="D101" s="94" t="n"/>
      <c r="E101" s="94" t="n"/>
      <c r="F101" s="94" t="n"/>
      <c r="G101" s="95" t="n"/>
      <c r="H101" s="94" t="n"/>
      <c r="I101" s="137" t="n"/>
      <c r="J101" s="138" t="n"/>
      <c r="K101" s="138" t="n"/>
      <c r="L101" s="138" t="n"/>
      <c r="M101" s="139" t="n"/>
      <c r="N101" s="138" t="n"/>
      <c r="O101" s="92" t="n"/>
      <c r="P101" s="94" t="n"/>
      <c r="Q101" s="99" t="n"/>
      <c r="R101" s="99" t="n"/>
      <c r="S101" s="100" t="n"/>
      <c r="T101" s="100" t="n"/>
      <c r="U101" s="100" t="n"/>
      <c r="V101" s="99" t="n"/>
      <c r="W101" s="100" t="n"/>
      <c r="X101" s="100" t="n"/>
      <c r="Y101" s="100" t="n"/>
      <c r="Z101" s="100" t="n"/>
      <c r="AA101" s="100" t="n"/>
      <c r="AB101" s="100" t="n"/>
      <c r="AC101" s="140" t="n"/>
      <c r="AD101" s="140" t="n"/>
      <c r="AE101" s="140" t="n"/>
      <c r="AF101" s="140" t="n"/>
      <c r="AG101" s="140" t="n"/>
      <c r="AH101" s="140" t="n"/>
      <c r="AI101" s="140" t="n"/>
      <c r="AJ101" s="141" t="n"/>
      <c r="AK101" s="140" t="n"/>
    </row>
    <row r="102" ht="17" customHeight="1">
      <c r="A102" s="80" t="n"/>
      <c r="B102" s="81" t="n"/>
      <c r="C102" s="130" t="n"/>
      <c r="D102" s="83" t="n"/>
      <c r="E102" s="83" t="n"/>
      <c r="F102" s="83" t="n"/>
      <c r="G102" s="84" t="n"/>
      <c r="H102" s="83" t="n"/>
      <c r="I102" s="131" t="n"/>
      <c r="J102" s="132" t="n"/>
      <c r="K102" s="132" t="n"/>
      <c r="L102" s="132" t="n"/>
      <c r="M102" s="133" t="n"/>
      <c r="N102" s="132" t="n"/>
      <c r="O102" s="81" t="n"/>
      <c r="P102" s="83" t="n"/>
      <c r="Q102" s="88" t="n"/>
      <c r="R102" s="88" t="n"/>
      <c r="S102" s="89" t="n"/>
      <c r="T102" s="89" t="n"/>
      <c r="U102" s="89" t="n"/>
      <c r="V102" s="88" t="n"/>
      <c r="W102" s="89" t="n"/>
      <c r="X102" s="89" t="n"/>
      <c r="Y102" s="89" t="n"/>
      <c r="Z102" s="89" t="n"/>
      <c r="AA102" s="89" t="n"/>
      <c r="AB102" s="89" t="n"/>
      <c r="AC102" s="134" t="n"/>
      <c r="AD102" s="134" t="n"/>
      <c r="AE102" s="134" t="n"/>
      <c r="AF102" s="134" t="n"/>
      <c r="AG102" s="134" t="n"/>
      <c r="AH102" s="134" t="n"/>
      <c r="AI102" s="134" t="n"/>
      <c r="AJ102" s="135" t="n"/>
      <c r="AK102" s="134" t="n"/>
    </row>
    <row r="103" ht="17" customHeight="1">
      <c r="A103" s="80" t="n"/>
      <c r="B103" s="92" t="n"/>
      <c r="C103" s="136" t="n"/>
      <c r="D103" s="94" t="n"/>
      <c r="E103" s="94" t="n"/>
      <c r="F103" s="94" t="n"/>
      <c r="G103" s="95" t="n"/>
      <c r="H103" s="94" t="n"/>
      <c r="I103" s="137" t="n"/>
      <c r="J103" s="138" t="n"/>
      <c r="K103" s="138" t="n"/>
      <c r="L103" s="138" t="n"/>
      <c r="M103" s="139" t="n"/>
      <c r="N103" s="138" t="n"/>
      <c r="O103" s="92" t="n"/>
      <c r="P103" s="94" t="n"/>
      <c r="Q103" s="99" t="n"/>
      <c r="R103" s="99" t="n"/>
      <c r="S103" s="100" t="n"/>
      <c r="T103" s="100" t="n"/>
      <c r="U103" s="100" t="n"/>
      <c r="V103" s="99" t="n"/>
      <c r="W103" s="100" t="n"/>
      <c r="X103" s="100" t="n"/>
      <c r="Y103" s="100" t="n"/>
      <c r="Z103" s="100" t="n"/>
      <c r="AA103" s="100" t="n"/>
      <c r="AB103" s="100" t="n"/>
      <c r="AC103" s="140" t="n"/>
      <c r="AD103" s="140" t="n"/>
      <c r="AE103" s="140" t="n"/>
      <c r="AF103" s="140" t="n"/>
      <c r="AG103" s="140" t="n"/>
      <c r="AH103" s="140" t="n"/>
      <c r="AI103" s="140" t="n"/>
      <c r="AJ103" s="141" t="n"/>
      <c r="AK103" s="140" t="n"/>
    </row>
  </sheetData>
  <autoFilter ref="A2:AK2"/>
  <mergeCells count="3">
    <mergeCell ref="A1:P1"/>
    <mergeCell ref="Q1:AK1"/>
    <mergeCell ref="A3:AK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2026-03-20T12:38:11Z</dcterms:created>
  <dcterms:modified xmlns:dcterms="http://purl.org/dc/terms/" xmlns:xsi="http://www.w3.org/2001/XMLSchema-instance" xsi:type="dcterms:W3CDTF">2026-03-20T13:02:17Z</dcterms:modified>
</cp:coreProperties>
</file>